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aed35692c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fc3fb68308f4bb4"/>
    <x:sheet xmlns:r="http://schemas.openxmlformats.org/officeDocument/2006/relationships" name="02 Data Matrix" sheetId="2" r:id="Reab4ecf25d644144"/>
    <x:sheet xmlns:r="http://schemas.openxmlformats.org/officeDocument/2006/relationships" name="03 Evidence" sheetId="3" r:id="R4dccc3c0a2bf4c86"/>
    <x:sheet xmlns:r="http://schemas.openxmlformats.org/officeDocument/2006/relationships" name="04 Indicators" sheetId="4" r:id="R9110d2f41b3f4192"/>
    <x:sheet xmlns:r="http://schemas.openxmlformats.org/officeDocument/2006/relationships" name="05 Sources" sheetId="5" r:id="R9ed0768d23a64b1c"/>
    <x:sheet xmlns:r="http://schemas.openxmlformats.org/officeDocument/2006/relationships" name="06 Evaluation Plan" sheetId="6" r:id="R26a9f18d575a4aaa"/>
    <x:sheet xmlns:r="http://schemas.openxmlformats.org/officeDocument/2006/relationships" name="07 Acquisition Log" sheetId="7" r:id="R992c6f0912364acd"/>
    <x:sheet xmlns:r="http://schemas.openxmlformats.org/officeDocument/2006/relationships" name="08 Data Quality" sheetId="8" r:id="R76ccdab9c04349b9"/>
    <x:sheet xmlns:r="http://schemas.openxmlformats.org/officeDocument/2006/relationships" name="09 Findings" sheetId="9" r:id="R412236478bf84657"/>
    <x:sheet xmlns:r="http://schemas.openxmlformats.org/officeDocument/2006/relationships" name="10 Reusable Method" sheetId="10" r:id="R7b7464b08f4243ef"/>
    <x:sheet xmlns:r="http://schemas.openxmlformats.org/officeDocument/2006/relationships" name="11 Programme Logic" sheetId="11" r:id="R5245631d261d4783"/>
    <x:sheet xmlns:r="http://schemas.openxmlformats.org/officeDocument/2006/relationships" name="12 Results Framework" sheetId="12" r:id="R2e2ff54f70934921"/>
    <x:sheet xmlns:r="http://schemas.openxmlformats.org/officeDocument/2006/relationships" name="13 Monitoring Data" sheetId="13" r:id="Rbbcefd6551434640"/>
    <x:sheet xmlns:r="http://schemas.openxmlformats.org/officeDocument/2006/relationships" name="14 Analysis" sheetId="14" r:id="R1c480e4cbcda4a07"/>
    <x:sheet xmlns:r="http://schemas.openxmlformats.org/officeDocument/2006/relationships" name="15 Final Assessment" sheetId="15" r:id="Rb522b38546ef47e4"/>
    <x:sheet xmlns:r="http://schemas.openxmlformats.org/officeDocument/2006/relationships" name="16 Data Request" sheetId="16" r:id="R8653be0b1820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9">
    <x:font>
      <x:sz val="11"/>
      <x:color theme="1"/>
      <x:name val="Calibri"/>
      <x:family val="2"/>
      <x:scheme val="minor"/>
    </x:font>
    <x:font>
      <x:b/>
      <x:sz val="15"/>
      <x:color rgb="FF17365D"/>
      <x:name val="Arial"/>
      <x:family val="2"/>
      <x:scheme val="minor"/>
    </x:font>
    <x:font>
      <x:i/>
      <x:sz val="10"/>
      <x:color rgb="FF666666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  <x:font>
      <x:sz val="10"/>
      <x:color rgb="FF1F1F1F"/>
      <x:name val="Arial"/>
      <x:family val="2"/>
      <x:scheme val="minor"/>
    </x:font>
    <x:font>
      <x:b/>
      <x:sz val="10"/>
      <x:color rgb="FF17365D"/>
      <x:name val="Arial"/>
      <x:family val="2"/>
      <x:scheme val="minor"/>
    </x:font>
    <x:font>
      <x:b/>
      <x:sz val="10"/>
      <x:color rgb="FF7F6000"/>
      <x:name val="Arial"/>
      <x:family val="2"/>
      <x:scheme val="minor"/>
    </x:font>
    <x:font>
      <x:b/>
      <x:sz val="11"/>
      <x:color rgb="FF17365D"/>
      <x:name val="Arial"/>
      <x:family val="2"/>
      <x:scheme val="minor"/>
    </x:font>
    <x:font>
      <x:sz val="10"/>
      <x:color theme="1"/>
      <x:name val="Arial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5F9FC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1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/>
      <x:diagonal/>
    </x:border>
    <x:border>
      <x:left/>
      <x:right style="thin">
        <x:color rgb="FFD9E2F3"/>
      </x:right>
      <x:top/>
      <x:bottom/>
      <x:diagonal/>
    </x:border>
    <x:border>
      <x:left style="thin">
        <x:color rgb="FFD9E2F3"/>
      </x:left>
      <x:right style="thin">
        <x:color rgb="FFD9E2F3"/>
      </x:right>
      <x:top/>
      <x:bottom/>
      <x:diagonal/>
    </x:border>
    <x:border>
      <x:left style="thin">
        <x:color rgb="FFD9E2F3"/>
      </x:left>
      <x:right/>
      <x:top/>
      <x:bottom/>
      <x:diagonal/>
    </x:border>
  </x:borders>
  <x:cellStyleXfs count="1">
    <x:xf numFmtId="0" fontId="0" fillId="0" borderId="0"/>
  </x:cellStyleXfs>
  <x:cellXfs count="9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6" fillId="3" borderId="7" xfId="0" applyNumberFormat="1" applyFont="1" applyFill="1" applyBorder="1" applyAlignment="1">
      <x:alignment vertical="top" wrapText="1"/>
    </x:xf>
    <x:xf numFmtId="0" fontId="6" fillId="3" borderId="7" xfId="0" applyNumberFormat="1" applyFont="1" applyFill="1" applyBorder="1" applyAlignment="1">
      <x:alignment horizontal="center" vertical="top" wrapText="1"/>
    </x:xf>
    <x:xf numFmtId="0" fontId="6" fillId="3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8" xfId="0" applyNumberFormat="1" applyFont="1" applyFill="1" applyBorder="1"/>
    <x:xf numFmtId="0" fontId="5" fillId="5" borderId="8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 vertical="top"/>
    </x:xf>
    <x:xf numFmtId="0" fontId="4" fillId="0" borderId="9" xfId="0" applyNumberFormat="1" applyFont="1" applyFill="1" applyBorder="1"/>
    <x:xf numFmtId="0" fontId="4" fillId="0" borderId="8" xfId="0" applyNumberFormat="1" applyFont="1" applyFill="1" applyBorder="1"/>
    <x:xf numFmtId="0" fontId="4" fillId="0" borderId="10" xfId="0" applyNumberFormat="1" applyFont="1" applyFill="1" applyBorder="1"/>
    <x:xf numFmtId="0" fontId="4" fillId="0" borderId="9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8" xfId="0" applyNumberFormat="1" applyFont="1" applyFill="1" applyBorder="1"/>
    <x:xf numFmtId="0" fontId="8" fillId="7" borderId="8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200" fontId="4" fillId="0" borderId="9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0" fontId="6" fillId="9" borderId="7" xfId="0" applyNumberFormat="1" applyFont="1" applyFill="1" applyBorder="1" applyAlignment="1">
      <x:alignment horizontal="center" vertic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201" fontId="4" fillId="0" borderId="9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  <x:xf numFmtId="201" fontId="4" fillId="0" borderId="1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ac7151f054be6" /><Relationship Type="http://schemas.openxmlformats.org/officeDocument/2006/relationships/theme" Target="/xl/theme/theme1.xml" Id="Rf0babbc8277c44fb" /><Relationship Type="http://schemas.openxmlformats.org/officeDocument/2006/relationships/sharedStrings" Target="/xl/sharedStrings.xml" Id="Raeb3190478f34592" /><Relationship Type="http://schemas.openxmlformats.org/officeDocument/2006/relationships/worksheet" Target="/xl/worksheets/sheet1.xml" Id="R9fc3fb68308f4bb4" /><Relationship Type="http://schemas.openxmlformats.org/officeDocument/2006/relationships/worksheet" Target="/xl/worksheets/sheet2.xml" Id="Reab4ecf25d644144" /><Relationship Type="http://schemas.openxmlformats.org/officeDocument/2006/relationships/worksheet" Target="/xl/worksheets/sheet3.xml" Id="R4dccc3c0a2bf4c86" /><Relationship Type="http://schemas.openxmlformats.org/officeDocument/2006/relationships/worksheet" Target="/xl/worksheets/sheet4.xml" Id="R9110d2f41b3f4192" /><Relationship Type="http://schemas.openxmlformats.org/officeDocument/2006/relationships/worksheet" Target="/xl/worksheets/sheet5.xml" Id="R9ed0768d23a64b1c" /><Relationship Type="http://schemas.openxmlformats.org/officeDocument/2006/relationships/worksheet" Target="/xl/worksheets/sheet6.xml" Id="R26a9f18d575a4aaa" /><Relationship Type="http://schemas.openxmlformats.org/officeDocument/2006/relationships/worksheet" Target="/xl/worksheets/sheet7.xml" Id="R992c6f0912364acd" /><Relationship Type="http://schemas.openxmlformats.org/officeDocument/2006/relationships/worksheet" Target="/xl/worksheets/sheet8.xml" Id="R76ccdab9c04349b9" /><Relationship Type="http://schemas.openxmlformats.org/officeDocument/2006/relationships/worksheet" Target="/xl/worksheets/sheet9.xml" Id="R412236478bf84657" /><Relationship Type="http://schemas.openxmlformats.org/officeDocument/2006/relationships/worksheet" Target="/xl/worksheets/sheet10.xml" Id="R7b7464b08f4243ef" /><Relationship Type="http://schemas.openxmlformats.org/officeDocument/2006/relationships/worksheet" Target="/xl/worksheets/sheet11.xml" Id="R5245631d261d4783" /><Relationship Type="http://schemas.openxmlformats.org/officeDocument/2006/relationships/worksheet" Target="/xl/worksheets/sheet12.xml" Id="R2e2ff54f70934921" /><Relationship Type="http://schemas.openxmlformats.org/officeDocument/2006/relationships/worksheet" Target="/xl/worksheets/sheet13.xml" Id="Rbbcefd6551434640" /><Relationship Type="http://schemas.openxmlformats.org/officeDocument/2006/relationships/worksheet" Target="/xl/worksheets/sheet14.xml" Id="R1c480e4cbcda4a07" /><Relationship Type="http://schemas.openxmlformats.org/officeDocument/2006/relationships/worksheet" Target="/xl/worksheets/sheet15.xml" Id="Rb522b38546ef47e4" /><Relationship Type="http://schemas.openxmlformats.org/officeDocument/2006/relationships/worksheet" Target="/xl/worksheets/sheet16.xml" Id="R8653be0b182041f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20" hidden="0" customWidth="1"/>
    <x:col min="2" max="2" width="52" hidden="0" customWidth="1"/>
    <x:col min="3" max="3" width="3" hidden="0" customWidth="1"/>
    <x:col min="4" max="4" width="27" hidden="0" customWidth="1"/>
    <x:col min="5" max="5" width="20" hidden="0" customWidth="1"/>
    <x:col min="6" max="6" width="24" hidden="0" customWidth="1"/>
  </x:cols>
  <x:sheetData>
    <x:row r="1" ht="22" customHeight="1">
      <x:c r="A1" s="2" t="str">
        <x:v>Kenya Agricultural Policy Impact Tracker | INT-02</x:v>
      </x:c>
    </x:row>
    <x:row r="2" ht="22" customHeight="1">
      <x:c r="A2" s="4" t="str">
        <x:v>National Agricultural Value Chain Development Project (NAVCDP) — foundation workbook</x:v>
      </x:c>
    </x:row>
    <x:row r="4" ht="26" customHeight="1">
      <x:c r="A4" s="33" t="str">
        <x:v>Field</x:v>
      </x:c>
      <x:c r="B4" s="33" t="str">
        <x:v>Current verified entry</x:v>
      </x:c>
      <x:c r="D4" s="10" t="str">
        <x:v>Set-up check</x:v>
      </x:c>
      <x:c r="E4" s="10" t="str">
        <x:v>Value</x:v>
      </x:c>
    </x:row>
    <x:row r="5" ht="26" customHeight="1">
      <x:c r="A5" s="34" t="str">
        <x:v>Tracker ID</x:v>
      </x:c>
      <x:c r="B5" s="35" t="str">
        <x:v>INT-02</x:v>
      </x:c>
      <x:c r="D5" s="30" t="str">
        <x:v>Workflow steps entered</x:v>
      </x:c>
      <x:c r="E5" s="25" t="n">
        <x:f>COUNTA('06 Evaluation Plan'!A4:A21)</x:f>
        <x:v>18</x:v>
      </x:c>
    </x:row>
    <x:row r="6" ht="26" customHeight="1">
      <x:c r="A6" s="34" t="str">
        <x:v>Official intervention</x:v>
      </x:c>
      <x:c r="B6" s="35" t="str">
        <x:v>National Agricultural Value Chain Development Project (NAVCDP)</x:v>
      </x:c>
      <x:c r="D6" s="31" t="str">
        <x:v>Workflow steps complete</x:v>
      </x:c>
      <x:c r="E6" s="27" t="n">
        <x:f>COUNTIF('06 Evaluation Plan'!F4:F21,"Complete")+COUNTIF('06 Evaluation Plan'!F4:F21,"Complete with limitation")</x:f>
        <x:v>17</x:v>
      </x:c>
    </x:row>
    <x:row r="7" ht="26" customHeight="1">
      <x:c r="A7" s="34" t="str">
        <x:v>World Bank Project ID</x:v>
      </x:c>
      <x:c r="B7" s="35" t="str">
        <x:v>P176758</x:v>
      </x:c>
      <x:c r="D7" s="31" t="str">
        <x:v>Sources logged</x:v>
      </x:c>
      <x:c r="E7" s="27" t="n">
        <x:f>COUNTA('05 Sources'!A4:A7)</x:f>
        <x:v>4</x:v>
      </x:c>
    </x:row>
    <x:row r="8" ht="26" customHeight="1">
      <x:c r="A8" s="34" t="str">
        <x:v>Lead implementing agency</x:v>
      </x:c>
      <x:c r="B8" s="35" t="str">
        <x:v>Ministry of Agriculture, Livestock, Fisheries and Cooperatives (per appraisal document)</x:v>
      </x:c>
      <x:c r="D8" s="32" t="str">
        <x:v>Impact conclusion</x:v>
      </x:c>
      <x:c r="E8" s="80" t="str">
        <x:v>Not assessable causally</x:v>
      </x:c>
    </x:row>
    <x:row r="9" ht="26" customHeight="1">
      <x:c r="A9" s="34" t="str">
        <x:v>Official objective</x:v>
      </x:c>
      <x:c r="B9" s="35" t="str">
        <x:v>Increase market participation and value addition for targeted farmers in select value chains in project areas.</x:v>
      </x:c>
    </x:row>
    <x:row r="10" ht="26" customHeight="1">
      <x:c r="A10" s="34" t="str">
        <x:v>Original project cost</x:v>
      </x:c>
      <x:c r="B10" s="35" t="str">
        <x:v>USD 250 million</x:v>
      </x:c>
    </x:row>
    <x:row r="11" ht="26" customHeight="1">
      <x:c r="A11" s="34" t="str">
        <x:v>Tracker stage</x:v>
      </x:c>
      <x:c r="B11" s="35" t="str">
        <x:v>Preliminary evidence assessment complete — no causal impact estimate possible with public aggregate data</x:v>
      </x:c>
    </x:row>
    <x:row r="12" ht="26" customHeight="1"/>
    <x:row r="13" ht="26" customHeight="1"/>
    <x:row r="14" ht="26" customHeight="1">
      <x:c r="A14" s="42" t="str">
        <x:v>How to use this workbook</x:v>
      </x:c>
    </x:row>
    <x:row r="15" ht="26" customHeight="1">
      <x:c r="A15" s="47" t="str">
        <x:v>1</x:v>
      </x:c>
      <x:c r="B15" s="24" t="str">
        <x:v>Start with 02 Data Matrix to define what must be measured.</x:v>
      </x:c>
      <x:c r="C15" s="54"/>
      <x:c r="D15" s="54"/>
      <x:c r="E15" s="54"/>
      <x:c r="F15" s="25"/>
    </x:row>
    <x:row r="16" ht="26" customHeight="1">
      <x:c r="A16" s="47" t="str">
        <x:v>2</x:v>
      </x:c>
      <x:c r="B16" s="26" t="str">
        <x:v>Record only traceable claims in 03 Evidence and link every claim to 05 Sources.</x:v>
      </x:c>
      <x:c r="C16" s="35"/>
      <x:c r="D16" s="35"/>
      <x:c r="E16" s="35"/>
      <x:c r="F16" s="27"/>
    </x:row>
    <x:row r="17" ht="26" customHeight="1">
      <x:c r="A17" s="47" t="str">
        <x:v>3</x:v>
      </x:c>
      <x:c r="B17" s="26" t="str">
        <x:v>Use 06 Evaluation Plan as the step-by-step checklist; update status only when supporting evidence is saved.</x:v>
      </x:c>
      <x:c r="C17" s="35"/>
      <x:c r="D17" s="35"/>
      <x:c r="E17" s="35"/>
      <x:c r="F17" s="27"/>
    </x:row>
    <x:row r="18" ht="26" customHeight="1">
      <x:c r="A18" s="47" t="str">
        <x:v>4</x:v>
      </x:c>
      <x:c r="B18" s="28" t="str">
        <x:v>Do not record outcome or impact claims until the underlying data and methodology have been reviewed.</x:v>
      </x:c>
      <x:c r="C18" s="55"/>
      <x:c r="D18" s="55"/>
      <x:c r="E18" s="55"/>
      <x:c r="F18" s="29"/>
    </x:row>
    <x:row r="20">
      <x:c r="A20" s="57" t="str">
        <x:v>Evidence-status note</x:v>
      </x:c>
    </x:row>
    <x:row r="21" ht="28" customHeight="1">
      <x:c r="A21" s="62" t="str">
        <x:v>This final preliminary assessment uses official aggregate monitoring and midterm-review reporting through 25 November 2025. It completes the assessment workflow by stating clear conclusions where evidence exists and ‘not assessable’ where administrative, expenditure, beneficiary, or counterfactual data are absent.</x:v>
      </x:c>
    </x:row>
    <x:row r="22" ht="28" customHeight="1"/>
  </x:sheetData>
  <x:mergeCells>
    <x:mergeCell ref="A1:H1"/>
    <x:mergeCell ref="A2:H2"/>
    <x:mergeCell ref="A14:F14"/>
    <x:mergeCell ref="B15:F15"/>
    <x:mergeCell ref="B16:F16"/>
    <x:mergeCell ref="B17:F17"/>
    <x:mergeCell ref="B18:F18"/>
    <x:mergeCell ref="A20:F20"/>
    <x:mergeCell ref="A21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36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2" customHeight="1">
      <x:c r="A1" s="2" t="str">
        <x:v>INT-02 Data Matrix</x:v>
      </x:c>
    </x:row>
    <x:row r="2" ht="22" customHeight="1">
      <x:c r="A2" s="4" t="str">
        <x:v>Map each impact dimension to an evaluation question, indicator, and required data before requesting or analysing data.</x:v>
      </x:c>
    </x:row>
    <x:row r="4">
      <x:c r="A4" s="10" t="str">
        <x:v>Dimension</x:v>
      </x:c>
      <x:c r="B4" s="10" t="str">
        <x:v>Evaluation question</x:v>
      </x:c>
      <x:c r="C4" s="10" t="str">
        <x:v>Candidate indicator</x:v>
      </x:c>
      <x:c r="D4" s="10" t="str">
        <x:v>Definition / unit</x:v>
      </x:c>
      <x:c r="E4" s="10" t="str">
        <x:v>Required data</x:v>
      </x:c>
      <x:c r="F4" s="10" t="str">
        <x:v>Likely owner</x:v>
      </x:c>
      <x:c r="G4" s="10" t="str">
        <x:v>Period / level</x:v>
      </x:c>
      <x:c r="H4" s="10" t="str">
        <x:v>Status</x:v>
      </x:c>
    </x:row>
    <x:row r="5">
      <x:c r="A5" s="24" t="str">
        <x:v>Agricultural productivity</x:v>
      </x:c>
      <x:c r="B5" s="54" t="str">
        <x:v>Did supported farmers increase production or yield?</x:v>
      </x:c>
      <x:c r="C5" s="54" t="str">
        <x:v>Yield by priority value chain</x:v>
      </x:c>
      <x:c r="D5" s="54" t="str">
        <x:v>Output per unit of land or production system</x:v>
      </x:c>
      <x:c r="E5" s="54" t="str">
        <x:v>Beneficiary farm production, area, crop/livestock records</x:v>
      </x:c>
      <x:c r="F5" s="54" t="str">
        <x:v>NAVCDP MIS; county departments</x:v>
      </x:c>
      <x:c r="G5" s="54" t="str">
        <x:v>Baseline/endline; county/household</x:v>
      </x:c>
      <x:c r="H5" s="25" t="str">
        <x:v>To validate</x:v>
      </x:c>
    </x:row>
    <x:row r="6">
      <x:c r="A6" s="26" t="str">
        <x:v>Farmers' livelihoods</x:v>
      </x:c>
      <x:c r="B6" s="35" t="str">
        <x:v>Did farm income or profitability improve?</x:v>
      </x:c>
      <x:c r="C6" s="35" t="str">
        <x:v>Net farm income</x:v>
      </x:c>
      <x:c r="D6" s="35" t="str">
        <x:v>Revenue less farm production costs (KES/household)</x:v>
      </x:c>
      <x:c r="E6" s="35" t="str">
        <x:v>Household survey; sales and cost records</x:v>
      </x:c>
      <x:c r="F6" s="35" t="str">
        <x:v>NAVCDP survey/MIS</x:v>
      </x:c>
      <x:c r="G6" s="35" t="str">
        <x:v>Baseline/endline; household</x:v>
      </x:c>
      <x:c r="H6" s="27" t="str">
        <x:v>To validate</x:v>
      </x:c>
    </x:row>
    <x:row r="7">
      <x:c r="A7" s="26" t="str">
        <x:v>Market outcomes</x:v>
      </x:c>
      <x:c r="B7" s="35" t="str">
        <x:v>Did market participation and value addition improve?</x:v>
      </x:c>
      <x:c r="C7" s="35" t="str">
        <x:v>Volume/value sold through targeted channels</x:v>
      </x:c>
      <x:c r="D7" s="35" t="str">
        <x:v>Quantity or value marketed through supported channels</x:v>
      </x:c>
      <x:c r="E7" s="35" t="str">
        <x:v>Sales, buyer, aggregation, processing records</x:v>
      </x:c>
      <x:c r="F7" s="35" t="str">
        <x:v>NAVCDP MIS; farmer organisations</x:v>
      </x:c>
      <x:c r="G7" s="35" t="str">
        <x:v>Seasonal; household/group</x:v>
      </x:c>
      <x:c r="H7" s="27" t="str">
        <x:v>To validate</x:v>
      </x:c>
    </x:row>
    <x:row r="8">
      <x:c r="A8" s="26" t="str">
        <x:v>Food security and resilience</x:v>
      </x:c>
      <x:c r="B8" s="35" t="str">
        <x:v>Did households improve food security and shock resilience?</x:v>
      </x:c>
      <x:c r="C8" s="35" t="str">
        <x:v>Food-security score; climate practice adoption</x:v>
      </x:c>
      <x:c r="D8" s="35" t="str">
        <x:v>Defined household food-security measure and adoption rate</x:v>
      </x:c>
      <x:c r="E8" s="35" t="str">
        <x:v>Household survey; extension/adoption records</x:v>
      </x:c>
      <x:c r="F8" s="35" t="str">
        <x:v>NAVCDP survey/MIS</x:v>
      </x:c>
      <x:c r="G8" s="35" t="str">
        <x:v>Baseline/endline; household</x:v>
      </x:c>
      <x:c r="H8" s="27" t="str">
        <x:v>To validate</x:v>
      </x:c>
    </x:row>
    <x:row r="9">
      <x:c r="A9" s="28" t="str">
        <x:v>Sustainability</x:v>
      </x:c>
      <x:c r="B9" s="55" t="str">
        <x:v>Did supported practices protect natural resources?</x:v>
      </x:c>
      <x:c r="C9" s="55" t="str">
        <x:v>Adoption of approved sustainable practices</x:v>
      </x:c>
      <x:c r="D9" s="55" t="str">
        <x:v>Share adopting defined soil, water, or climate-smart practices</x:v>
      </x:c>
      <x:c r="E9" s="55" t="str">
        <x:v>Extension, plot, irrigation, environmental records</x:v>
      </x:c>
      <x:c r="F9" s="55" t="str">
        <x:v>NAVCDP MIS; counties</x:v>
      </x:c>
      <x:c r="G9" s="55" t="str">
        <x:v>Annual; household/plot</x:v>
      </x:c>
      <x:c r="H9" s="29" t="str">
        <x:v>To validate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2" max="2" width="56" hidden="0" customWidth="1"/>
  </x:cols>
  <x:sheetData>
    <x:row r="1" ht="22" customHeight="1">
      <x:c r="A1" s="2" t="str">
        <x:v>INT-02 Evidence Register</x:v>
      </x:c>
    </x:row>
    <x:row r="2" ht="22" customHeight="1">
      <x:c r="A2" s="4" t="str">
        <x:v>Enter one traceable statement per row. This register separates official design/implementation evidence from outcome and impact evidence.</x:v>
      </x:c>
    </x:row>
    <x:row r="4">
      <x:c r="A4" s="10" t="str">
        <x:v>Evidence ID</x:v>
      </x:c>
      <x:c r="B4" s="10" t="str">
        <x:v>Traceable statement</x:v>
      </x:c>
      <x:c r="C4" s="10" t="str">
        <x:v>Evidence type</x:v>
      </x:c>
      <x:c r="D4" s="10" t="str">
        <x:v>Impact dimension</x:v>
      </x:c>
      <x:c r="E4" s="10" t="str">
        <x:v>Strength</x:v>
      </x:c>
      <x:c r="F4" s="10" t="str">
        <x:v>Source ID</x:v>
      </x:c>
      <x:c r="G4" s="10" t="str">
        <x:v>Permitted use</x:v>
      </x:c>
      <x:c r="H4" s="10" t="str">
        <x:v>Review status</x:v>
      </x:c>
    </x:row>
    <x:row r="5">
      <x:c r="A5" s="24" t="str">
        <x:v>EVD-001</x:v>
      </x:c>
      <x:c r="B5" s="54" t="str">
        <x:v>The project objective is to increase market participation and value addition for targeted farmers in select value chains in project areas.</x:v>
      </x:c>
      <x:c r="C5" s="54" t="str">
        <x:v>Official project design</x:v>
      </x:c>
      <x:c r="D5" s="54" t="str">
        <x:v>Market outcomes</x:v>
      </x:c>
      <x:c r="E5" s="54" t="str">
        <x:v>High for stated objective</x:v>
      </x:c>
      <x:c r="F5" s="54" t="str">
        <x:v>SRC-001</x:v>
      </x:c>
      <x:c r="G5" s="54" t="str">
        <x:v>Define intervention and programme logic; not an outcome result</x:v>
      </x:c>
      <x:c r="H5" s="25" t="str">
        <x:v>Reviewed</x:v>
      </x:c>
    </x:row>
    <x:row r="6">
      <x:c r="A6" s="28" t="str">
        <x:v>EVD-002</x:v>
      </x:c>
      <x:c r="B6" s="55" t="str">
        <x:v>The implementation-status report states that all 33 participating counties had signed participation agreements and established county project coordination units.</x:v>
      </x:c>
      <x:c r="C6" s="55" t="str">
        <x:v>Official implementation status</x:v>
      </x:c>
      <x:c r="D6" s="55" t="str">
        <x:v>Implementation</x:v>
      </x:c>
      <x:c r="E6" s="55" t="str">
        <x:v>High for reported implementation status</x:v>
      </x:c>
      <x:c r="F6" s="55" t="str">
        <x:v>SRC-002</x:v>
      </x:c>
      <x:c r="G6" s="55" t="str">
        <x:v>Assess implementation progress; not an impact result</x:v>
      </x:c>
      <x:c r="H6" s="29" t="str">
        <x:v>Reviewed</x:v>
      </x:c>
    </x:row>
    <x:row r="7">
      <x:c r="A7" s="24" t="str">
        <x:v>EVD-003</x:v>
      </x:c>
      <x:c r="B7" s="54" t="str">
        <x:v>NAVCDP has five named components, including producer capacity, climate-smart value-chain ecosystem investments, urban food-system pilots, coordination/management, and contingency response.</x:v>
      </x:c>
      <x:c r="C7" s="54" t="str">
        <x:v>Official programme design</x:v>
      </x:c>
      <x:c r="D7" s="54" t="str">
        <x:v>Programme logic</x:v>
      </x:c>
      <x:c r="E7" s="54" t="str">
        <x:v>High for intervention design</x:v>
      </x:c>
      <x:c r="F7" s="54" t="str">
        <x:v>SRC-003</x:v>
      </x:c>
      <x:c r="G7" s="54" t="str">
        <x:v>Reconstruct programme logic; not an outcome result</x:v>
      </x:c>
      <x:c r="H7" s="25" t="str">
        <x:v>Reviewed</x:v>
      </x:c>
    </x:row>
    <x:row r="8">
      <x:c r="A8" s="26" t="str">
        <x:v>EVD-004</x:v>
      </x:c>
      <x:c r="B8" s="35" t="str">
        <x:v>The 2024 ISR reports 1,474,083 farmers reached with agricultural assets or services, including 884,449 female farmers, as at 9 September 2024.</x:v>
      </x:c>
      <x:c r="C8" s="35" t="str">
        <x:v>Reported monitoring value</x:v>
      </x:c>
      <x:c r="D8" s="35" t="str">
        <x:v>Implementation / equity</x:v>
      </x:c>
      <x:c r="E8" s="35" t="str">
        <x:v>Medium — aggregate reported monitoring</x:v>
      </x:c>
      <x:c r="F8" s="35" t="str">
        <x:v>SRC-002</x:v>
      </x:c>
      <x:c r="G8" s="35" t="str">
        <x:v>Describe reported reach; do not interpret as causal impact</x:v>
      </x:c>
      <x:c r="H8" s="27" t="str">
        <x:v>Reviewed</x:v>
      </x:c>
    </x:row>
    <x:row r="9">
      <x:c r="A9" s="26" t="str">
        <x:v>EVD-005</x:v>
      </x:c>
      <x:c r="B9" s="35" t="str">
        <x:v>As at 9 September 2024, the ISR recorded zero for both PDO market-outcome indicators: farmers selling more than 50% of produce and farmers selling in value-added form.</x:v>
      </x:c>
      <x:c r="C9" s="35" t="str">
        <x:v>Reported monitoring value</x:v>
      </x:c>
      <x:c r="D9" s="35" t="str">
        <x:v>Market outcomes</x:v>
      </x:c>
      <x:c r="E9" s="35" t="str">
        <x:v>Medium — aggregate reported monitoring</x:v>
      </x:c>
      <x:c r="F9" s="35" t="str">
        <x:v>SRC-002</x:v>
      </x:c>
      <x:c r="G9" s="35" t="str">
        <x:v>Describe reported status at date; do not infer no programme effect</x:v>
      </x:c>
      <x:c r="H9" s="27" t="str">
        <x:v>Reviewed</x:v>
      </x:c>
    </x:row>
    <x:row r="10">
      <x:c r="A10" s="26" t="str">
        <x:v>EVD-006</x:v>
      </x:c>
      <x:c r="B10" s="35" t="str">
        <x:v>The ISR reports 90,947 farmers adopting improved agricultural technology and 54,568 female farmers, as at 9 September 2024.</x:v>
      </x:c>
      <x:c r="C10" s="35" t="str">
        <x:v>Reported monitoring value</x:v>
      </x:c>
      <x:c r="D10" s="35" t="str">
        <x:v>Agricultural productivity</x:v>
      </x:c>
      <x:c r="E10" s="35" t="str">
        <x:v>Medium — aggregate reported monitoring</x:v>
      </x:c>
      <x:c r="F10" s="35" t="str">
        <x:v>SRC-002</x:v>
      </x:c>
      <x:c r="G10" s="35" t="str">
        <x:v>Describe reported adoption reach; not a measured yield/income impact</x:v>
      </x:c>
      <x:c r="H10" s="27" t="str">
        <x:v>Reviewed</x:v>
      </x:c>
    </x:row>
    <x:row r="11">
      <x:c r="A11" s="26" t="str">
        <x:v>EVD-007</x:v>
      </x:c>
      <x:c r="B11" s="35" t="str">
        <x:v>The ISR notes that the food-and-nutrition-security baseline had not yet been conducted for the reported people-reached indicator.</x:v>
      </x:c>
      <x:c r="C11" s="35" t="str">
        <x:v>Official monitoring limitation</x:v>
      </x:c>
      <x:c r="D11" s="35" t="str">
        <x:v>Food security and resilience</x:v>
      </x:c>
      <x:c r="E11" s="35" t="str">
        <x:v>High for stated data limitation</x:v>
      </x:c>
      <x:c r="F11" s="35" t="str">
        <x:v>SRC-002</x:v>
      </x:c>
      <x:c r="G11" s="35" t="str">
        <x:v>Document limitation; no food-security impact inference</x:v>
      </x:c>
      <x:c r="H11" s="27" t="str">
        <x:v>Reviewed</x:v>
      </x:c>
    </x:row>
    <x:row r="12">
      <x:c r="A12" s="28" t="str">
        <x:v>EVD-008</x:v>
      </x:c>
      <x:c r="B12" s="55" t="str">
        <x:v>The appraisal identifies risks of elite capture and exclusion of women and vulnerable groups, supporting a dedicated equity assessment.</x:v>
      </x:c>
      <x:c r="C12" s="55" t="str">
        <x:v>Official safeguards / risk evidence</x:v>
      </x:c>
      <x:c r="D12" s="55" t="str">
        <x:v>Equity</x:v>
      </x:c>
      <x:c r="E12" s="55" t="str">
        <x:v>High for risk identification</x:v>
      </x:c>
      <x:c r="F12" s="55" t="str">
        <x:v>SRC-001</x:v>
      </x:c>
      <x:c r="G12" s="55" t="str">
        <x:v>Define equity questions and data requirements; not proof that exclusion occurred</x:v>
      </x:c>
      <x:c r="H12" s="29" t="str">
        <x:v>Reviewed</x:v>
      </x:c>
    </x:row>
    <x:row r="13">
      <x:c r="A13" s="24" t="str">
        <x:v>EVD-009</x:v>
      </x:c>
      <x:c r="B13" s="54" t="str">
        <x:v>The 2025 ISR reports 1,329,542 direct beneficiaries, after validation and deduplication; it also reports 620,530 female beneficiaries.</x:v>
      </x:c>
      <x:c r="C13" s="54" t="str">
        <x:v>Reported monitoring value</x:v>
      </x:c>
      <x:c r="D13" s="54" t="str">
        <x:v>Implementation / equity</x:v>
      </x:c>
      <x:c r="E13" s="54" t="str">
        <x:v>Medium — aggregate, deduplicated reported monitoring</x:v>
      </x:c>
      <x:c r="F13" s="54" t="str">
        <x:v>SRC-004</x:v>
      </x:c>
      <x:c r="G13" s="54" t="str">
        <x:v>Assess reported reach; do not infer income/productivity impacts</x:v>
      </x:c>
      <x:c r="H13" s="25" t="str">
        <x:v>Reviewed</x:v>
      </x:c>
    </x:row>
    <x:row r="14">
      <x:c r="A14" s="26" t="str">
        <x:v>EVD-010</x:v>
      </x:c>
      <x:c r="B14" s="35" t="str">
        <x:v>The 2025 ISR reports provisional midterm-review values of 43.23 for the market-sales indicator and 23.80 for the value-added-sales indicator.</x:v>
      </x:c>
      <x:c r="C14" s="35" t="str">
        <x:v>Reported monitoring value</x:v>
      </x:c>
      <x:c r="D14" s="35" t="str">
        <x:v>Market outcomes</x:v>
      </x:c>
      <x:c r="E14" s="35" t="str">
        <x:v>Medium — provisional aggregate MTR reporting</x:v>
      </x:c>
      <x:c r="F14" s="35" t="str">
        <x:v>SRC-004</x:v>
      </x:c>
      <x:c r="G14" s="35" t="str">
        <x:v>Describe reported market outcomes; do not make attribution claim</x:v>
      </x:c>
      <x:c r="H14" s="27" t="str">
        <x:v>Reviewed</x:v>
      </x:c>
    </x:row>
    <x:row r="15">
      <x:c r="A15" s="26" t="str">
        <x:v>EVD-011</x:v>
      </x:c>
      <x:c r="B15" s="35" t="str">
        <x:v>The 2025 ISR reports 535,560 farmers adopting improved technology, including 259,245 female farmers.</x:v>
      </x:c>
      <x:c r="C15" s="35" t="str">
        <x:v>Reported monitoring value</x:v>
      </x:c>
      <x:c r="D15" s="35" t="str">
        <x:v>Agricultural productivity / equity</x:v>
      </x:c>
      <x:c r="E15" s="35" t="str">
        <x:v>Medium — aggregate reported monitoring</x:v>
      </x:c>
      <x:c r="F15" s="35" t="str">
        <x:v>SRC-004</x:v>
      </x:c>
      <x:c r="G15" s="35" t="str">
        <x:v>Describe adoption reach; not a yield or income impact</x:v>
      </x:c>
      <x:c r="H15" s="27" t="str">
        <x:v>Reviewed</x:v>
      </x:c>
    </x:row>
    <x:row r="16">
      <x:c r="A16" s="26" t="str">
        <x:v>EVD-012</x:v>
      </x:c>
      <x:c r="B16" s="35" t="str">
        <x:v>The 2025 ISR reports 3,437 ha under sustainable land management, 2,749 ha with new/improved irrigation or drainage, and 25,229 farmers accessing irrigation.</x:v>
      </x:c>
      <x:c r="C16" s="35" t="str">
        <x:v>Reported monitoring value</x:v>
      </x:c>
      <x:c r="D16" s="35" t="str">
        <x:v>Sustainability / resilience</x:v>
      </x:c>
      <x:c r="E16" s="35" t="str">
        <x:v>Medium — aggregate reported monitoring</x:v>
      </x:c>
      <x:c r="F16" s="35" t="str">
        <x:v>SRC-004</x:v>
      </x:c>
      <x:c r="G16" s="35" t="str">
        <x:v>Describe reported delivery/outcomes; not environmental or resilience impact</x:v>
      </x:c>
      <x:c r="H16" s="27" t="str">
        <x:v>Reviewed</x:v>
      </x:c>
    </x:row>
    <x:row r="17">
      <x:c r="A17" s="26" t="str">
        <x:v>EVD-013</x:v>
      </x:c>
      <x:c r="B17" s="35" t="str">
        <x:v>The 2025 ISR reports 74.06% disbursement (USD 184.37m of USD 258.73m revised financing), but does not provide an audited expenditure breakdown by activity or beneficiary.</x:v>
      </x:c>
      <x:c r="C17" s="35" t="str">
        <x:v>Reported financial performance</x:v>
      </x:c>
      <x:c r="D17" s="35" t="str">
        <x:v>Efficiency / value for money</x:v>
      </x:c>
      <x:c r="E17" s="35" t="str">
        <x:v>Medium for disbursement; insufficient for VFM</x:v>
      </x:c>
      <x:c r="F17" s="35" t="str">
        <x:v>SRC-004</x:v>
      </x:c>
      <x:c r="G17" s="35" t="str">
        <x:v>Assess financial implementation only; do not calculate cost effectiveness</x:v>
      </x:c>
      <x:c r="H17" s="27" t="str">
        <x:v>Reviewed</x:v>
      </x:c>
    </x:row>
    <x:row r="18">
      <x:c r="A18" s="26" t="str">
        <x:v>EVD-014</x:v>
      </x:c>
      <x:c r="B18" s="35" t="str">
        <x:v>The 2025 ISR states that the market outcome figures are provisional baseline/MTR survey estimates and that beneficiary reach was reduced after validation and deduplication.</x:v>
      </x:c>
      <x:c r="C18" s="35" t="str">
        <x:v>Official data limitation</x:v>
      </x:c>
      <x:c r="D18" s="35" t="str">
        <x:v>Attribution / data quality</x:v>
      </x:c>
      <x:c r="E18" s="35" t="str">
        <x:v>High for stated limitation</x:v>
      </x:c>
      <x:c r="F18" s="35" t="str">
        <x:v>SRC-004</x:v>
      </x:c>
      <x:c r="G18" s="35" t="str">
        <x:v>Document limitations and reject causal inference</x:v>
      </x:c>
      <x:c r="H18" s="27" t="str">
        <x:v>Reviewed</x:v>
      </x:c>
    </x:row>
    <x:row r="19">
      <x:c r="A19" s="28" t="str">
        <x:v>EVD-015</x:v>
      </x:c>
      <x:c r="B19" s="55" t="str">
        <x:v>The 2025 ISR reports zero VMGs supported through microprojects against an end target of 2,000 as at 25 November 2025.</x:v>
      </x:c>
      <x:c r="C19" s="55" t="str">
        <x:v>Reported monitoring value</x:v>
      </x:c>
      <x:c r="D19" s="55" t="str">
        <x:v>Equity</x:v>
      </x:c>
      <x:c r="E19" s="55" t="str">
        <x:v>Medium — aggregate reported monitoring</x:v>
      </x:c>
      <x:c r="F19" s="55" t="str">
        <x:v>SRC-004</x:v>
      </x:c>
      <x:c r="G19" s="55" t="str">
        <x:v>Assess equity implementation gap; does not identify reasons or beneficiaries</x:v>
      </x:c>
      <x:c r="H19" s="29" t="str">
        <x:v>Reviewed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2" customHeight="1">
      <x:c r="A1" s="2" t="str">
        <x:v>INT-02 Indicator Register</x:v>
      </x:c>
    </x:row>
    <x:row r="2" ht="22" customHeight="1">
      <x:c r="A2" s="4" t="str">
        <x:v>Candidate indicators only. Confirm exact definitions, calculation rules, and data availability before using any indicator in analysis.</x:v>
      </x:c>
    </x:row>
    <x:row r="4">
      <x:c r="A4" s="72" t="str">
        <x:v>Indicator ID</x:v>
      </x:c>
      <x:c r="B4" s="72" t="str">
        <x:v>Dimension</x:v>
      </x:c>
      <x:c r="C4" s="72" t="str">
        <x:v>Indicator</x:v>
      </x:c>
      <x:c r="D4" s="72" t="str">
        <x:v>Numerator</x:v>
      </x:c>
      <x:c r="E4" s="72" t="str">
        <x:v>Denominator</x:v>
      </x:c>
      <x:c r="F4" s="72" t="str">
        <x:v>Unit</x:v>
      </x:c>
      <x:c r="G4" s="72" t="str">
        <x:v>Disaggregation</x:v>
      </x:c>
      <x:c r="H4" s="72" t="str">
        <x:v>Primary source</x:v>
      </x:c>
      <x:c r="I4" s="72" t="str">
        <x:v>Readiness</x:v>
      </x:c>
    </x:row>
    <x:row r="5">
      <x:c r="A5" s="24" t="str">
        <x:v>IND-01</x:v>
      </x:c>
      <x:c r="B5" s="54" t="str">
        <x:v>Market outcomes</x:v>
      </x:c>
      <x:c r="C5" s="54" t="str">
        <x:v>Farmers selling more than 50% of produce in market</x:v>
      </x:c>
      <x:c r="D5" s="54" t="str">
        <x:v>Eligible farmers meeting threshold</x:v>
      </x:c>
      <x:c r="E5" s="54" t="str">
        <x:v>Measured eligible farmers</x:v>
      </x:c>
      <x:c r="F5" s="54" t="str">
        <x:v>Percentage increase</x:v>
      </x:c>
      <x:c r="G5" s="54" t="str">
        <x:v>County, sex, age, value chain</x:v>
      </x:c>
      <x:c r="H5" s="54" t="str">
        <x:v>NAVCDP results framework</x:v>
      </x:c>
      <x:c r="I5" s="25" t="str">
        <x:v>Official definition available</x:v>
      </x:c>
    </x:row>
    <x:row r="6">
      <x:c r="A6" s="26" t="str">
        <x:v>IND-02</x:v>
      </x:c>
      <x:c r="B6" s="35" t="str">
        <x:v>Market outcomes</x:v>
      </x:c>
      <x:c r="C6" s="35" t="str">
        <x:v>Farmers selling in value-added form</x:v>
      </x:c>
      <x:c r="D6" s="35" t="str">
        <x:v>Eligible farmers selling after primary/secondary value addition</x:v>
      </x:c>
      <x:c r="E6" s="35" t="str">
        <x:v>Measured eligible farmers</x:v>
      </x:c>
      <x:c r="F6" s="35" t="str">
        <x:v>Percentage increase</x:v>
      </x:c>
      <x:c r="G6" s="35" t="str">
        <x:v>County, sex, age, value chain</x:v>
      </x:c>
      <x:c r="H6" s="35" t="str">
        <x:v>NAVCDP results framework</x:v>
      </x:c>
      <x:c r="I6" s="27" t="str">
        <x:v>Official definition available</x:v>
      </x:c>
    </x:row>
    <x:row r="7">
      <x:c r="A7" s="26" t="str">
        <x:v>IND-03</x:v>
      </x:c>
      <x:c r="B7" s="35" t="str">
        <x:v>Implementation / equity</x:v>
      </x:c>
      <x:c r="C7" s="35" t="str">
        <x:v>Farmers reached with assets or services</x:v>
      </x:c>
      <x:c r="D7" s="35" t="str">
        <x:v>Farmers receiving project-supported asset/service</x:v>
      </x:c>
      <x:c r="E7" s="35" t="str">
        <x:v>Not applicable</x:v>
      </x:c>
      <x:c r="F7" s="35" t="str">
        <x:v>Number</x:v>
      </x:c>
      <x:c r="G7" s="35" t="str">
        <x:v>Female required; request youth, county, value chain</x:v>
      </x:c>
      <x:c r="H7" s="35" t="str">
        <x:v>NAVCDP results framework</x:v>
      </x:c>
      <x:c r="I7" s="27" t="str">
        <x:v>Official definition available</x:v>
      </x:c>
    </x:row>
    <x:row r="8">
      <x:c r="A8" s="26" t="str">
        <x:v>IND-04</x:v>
      </x:c>
      <x:c r="B8" s="35" t="str">
        <x:v>Farmers' livelihoods</x:v>
      </x:c>
      <x:c r="C8" s="35" t="str">
        <x:v>Average annual sales turnover of targeted FPOs</x:v>
      </x:c>
      <x:c r="D8" s="35" t="str">
        <x:v>Change in annual sales turnover</x:v>
      </x:c>
      <x:c r="E8" s="35" t="str">
        <x:v>Baseline annual turnover</x:v>
      </x:c>
      <x:c r="F8" s="35" t="str">
        <x:v>Percentage increase</x:v>
      </x:c>
      <x:c r="G8" s="35" t="str">
        <x:v>FPO, county, value chain</x:v>
      </x:c>
      <x:c r="H8" s="35" t="str">
        <x:v>NAVCDP results framework</x:v>
      </x:c>
      <x:c r="I8" s="27" t="str">
        <x:v>Official definition available</x:v>
      </x:c>
    </x:row>
    <x:row r="9">
      <x:c r="A9" s="26" t="str">
        <x:v>IND-05</x:v>
      </x:c>
      <x:c r="B9" s="35" t="str">
        <x:v>Farmers' livelihoods</x:v>
      </x:c>
      <x:c r="C9" s="35" t="str">
        <x:v>Farmers accessing financial services</x:v>
      </x:c>
      <x:c r="D9" s="35" t="str">
        <x:v>CIG/VMG members initiating group savings</x:v>
      </x:c>
      <x:c r="E9" s="35" t="str">
        <x:v>Not applicable</x:v>
      </x:c>
      <x:c r="F9" s="35" t="str">
        <x:v>Number</x:v>
      </x:c>
      <x:c r="G9" s="35" t="str">
        <x:v>Sex, youth, county, group</x:v>
      </x:c>
      <x:c r="H9" s="35" t="str">
        <x:v>NAVCDP results framework</x:v>
      </x:c>
      <x:c r="I9" s="27" t="str">
        <x:v>Official definition available</x:v>
      </x:c>
    </x:row>
    <x:row r="10">
      <x:c r="A10" s="26" t="str">
        <x:v>IND-06</x:v>
      </x:c>
      <x:c r="B10" s="35" t="str">
        <x:v>Agricultural productivity</x:v>
      </x:c>
      <x:c r="C10" s="35" t="str">
        <x:v>Farmers adopting improved agricultural technology</x:v>
      </x:c>
      <x:c r="D10" s="35" t="str">
        <x:v>Farmers adopting a promoted technology</x:v>
      </x:c>
      <x:c r="E10" s="35" t="str">
        <x:v>Measured project farmers</x:v>
      </x:c>
      <x:c r="F10" s="35" t="str">
        <x:v>Number</x:v>
      </x:c>
      <x:c r="G10" s="35" t="str">
        <x:v>Female, youth, county, value chain</x:v>
      </x:c>
      <x:c r="H10" s="35" t="str">
        <x:v>NAVCDP results framework</x:v>
      </x:c>
      <x:c r="I10" s="27" t="str">
        <x:v>Official definition available</x:v>
      </x:c>
    </x:row>
    <x:row r="11">
      <x:c r="A11" s="26" t="str">
        <x:v>IND-07</x:v>
      </x:c>
      <x:c r="B11" s="35" t="str">
        <x:v>Food security and resilience</x:v>
      </x:c>
      <x:c r="C11" s="35" t="str">
        <x:v>People with strengthened food and nutrition security</x:v>
      </x:c>
      <x:c r="D11" s="35" t="str">
        <x:v>Method-specific</x:v>
      </x:c>
      <x:c r="E11" s="35" t="str">
        <x:v>Method-specific</x:v>
      </x:c>
      <x:c r="F11" s="35" t="str">
        <x:v>Number</x:v>
      </x:c>
      <x:c r="G11" s="35" t="str">
        <x:v>Female, youth, county</x:v>
      </x:c>
      <x:c r="H11" s="35" t="str">
        <x:v>NAVCDP results framework</x:v>
      </x:c>
      <x:c r="I11" s="27" t="str">
        <x:v>Definition and baseline still required</x:v>
      </x:c>
    </x:row>
    <x:row r="12">
      <x:c r="A12" s="26" t="str">
        <x:v>IND-08</x:v>
      </x:c>
      <x:c r="B12" s="35" t="str">
        <x:v>Resilience / sustainability</x:v>
      </x:c>
      <x:c r="C12" s="35" t="str">
        <x:v>Farmers accessing climate-resilient assets or services</x:v>
      </x:c>
      <x:c r="D12" s="35" t="str">
        <x:v>Project farmers accessing qualifying assets/services</x:v>
      </x:c>
      <x:c r="E12" s="35" t="str">
        <x:v>Measured project farmers</x:v>
      </x:c>
      <x:c r="F12" s="35" t="str">
        <x:v>Number</x:v>
      </x:c>
      <x:c r="G12" s="35" t="str">
        <x:v>Sex, youth, county, value chain</x:v>
      </x:c>
      <x:c r="H12" s="35" t="str">
        <x:v>NAVCDP results framework</x:v>
      </x:c>
      <x:c r="I12" s="27" t="str">
        <x:v>Official definition available</x:v>
      </x:c>
    </x:row>
    <x:row r="13">
      <x:c r="A13" s="26" t="str">
        <x:v>IND-09</x:v>
      </x:c>
      <x:c r="B13" s="35" t="str">
        <x:v>Sustainability</x:v>
      </x:c>
      <x:c r="C13" s="35" t="str">
        <x:v>Land under sustainable land management</x:v>
      </x:c>
      <x:c r="D13" s="35" t="str">
        <x:v>Land under qualifying intervention</x:v>
      </x:c>
      <x:c r="E13" s="35" t="str">
        <x:v>Not applicable</x:v>
      </x:c>
      <x:c r="F13" s="35" t="str">
        <x:v>Hectares</x:v>
      </x:c>
      <x:c r="G13" s="35" t="str">
        <x:v>County, intervention type</x:v>
      </x:c>
      <x:c r="H13" s="35" t="str">
        <x:v>NAVCDP results framework</x:v>
      </x:c>
      <x:c r="I13" s="27" t="str">
        <x:v>Official definition available</x:v>
      </x:c>
    </x:row>
    <x:row r="14">
      <x:c r="A14" s="26" t="str">
        <x:v>IND-10</x:v>
      </x:c>
      <x:c r="B14" s="35" t="str">
        <x:v>Market outcomes</x:v>
      </x:c>
      <x:c r="C14" s="35" t="str">
        <x:v>Farmers accessing productivity/market/credit services through AgriTech partnerships</x:v>
      </x:c>
      <x:c r="D14" s="35" t="str">
        <x:v>Farmers accessing qualifying service</x:v>
      </x:c>
      <x:c r="E14" s="35" t="str">
        <x:v>Not applicable</x:v>
      </x:c>
      <x:c r="F14" s="35" t="str">
        <x:v>Number</x:v>
      </x:c>
      <x:c r="G14" s="35" t="str">
        <x:v>Sex, youth, county, service type</x:v>
      </x:c>
      <x:c r="H14" s="35" t="str">
        <x:v>NAVCDP results framework</x:v>
      </x:c>
      <x:c r="I14" s="27" t="str">
        <x:v>Official definition available</x:v>
      </x:c>
    </x:row>
    <x:row r="15">
      <x:c r="A15" s="28" t="str">
        <x:v>IND-11</x:v>
      </x:c>
      <x:c r="B15" s="55" t="str">
        <x:v>Equity</x:v>
      </x:c>
      <x:c r="C15" s="55" t="str">
        <x:v>Female farmers reached with assets or services</x:v>
      </x:c>
      <x:c r="D15" s="55" t="str">
        <x:v>Female farmers receiving qualifying support</x:v>
      </x:c>
      <x:c r="E15" s="55" t="str">
        <x:v>Not applicable</x:v>
      </x:c>
      <x:c r="F15" s="55" t="str">
        <x:v>Number</x:v>
      </x:c>
      <x:c r="G15" s="55" t="str">
        <x:v>County, value chain, service</x:v>
      </x:c>
      <x:c r="H15" s="55" t="str">
        <x:v>NAVCDP results framework</x:v>
      </x:c>
      <x:c r="I15" s="29" t="str">
        <x:v>Official definition available</x:v>
      </x:c>
    </x:row>
    <x:row r="16">
      <x:c r="A16" t="str">
        <x:v>IND-12</x:v>
      </x:c>
      <x:c r="B16" t="str">
        <x:v>Efficiency</x:v>
      </x:c>
      <x:c r="C16" t="str">
        <x:v>Cost per farmer reached</x:v>
      </x:c>
      <x:c r="D16" t="str">
        <x:v>Actual eligible NAVCDP expenditure</x:v>
      </x:c>
      <x:c r="E16" t="str">
        <x:v>Farmers reached</x:v>
      </x:c>
      <x:c r="F16" t="str">
        <x:v>USD or KES/farmer</x:v>
      </x:c>
      <x:c r="G16" t="str">
        <x:v>Component, county, sex, value chain</x:v>
      </x:c>
      <x:c r="H16" t="str">
        <x:v>Audited expenditure plus MIS</x:v>
      </x:c>
      <x:c r="I16" t="str">
        <x:v>Data request required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4" max="4" width="22" hidden="0" customWidth="1"/>
    <x:col min="6" max="6" width="22" hidden="0" customWidth="1"/>
    <x:col min="7" max="7" width="22" hidden="0" customWidth="1"/>
    <x:col min="8" max="8" width="22" hidden="0" customWidth="1"/>
    <x:col min="3" max="3" width="40" hidden="0" customWidth="1"/>
    <x:col min="5" max="5" width="56" hidden="0" customWidth="1"/>
  </x:cols>
  <x:sheetData>
    <x:row r="1" ht="22" customHeight="1">
      <x:c r="A1" s="2" t="str">
        <x:v>INT-02 Sources</x:v>
      </x:c>
    </x:row>
    <x:row r="2" ht="22" customHeight="1">
      <x:c r="A2" s="4" t="str">
        <x:v>Authoritative sources logged at set-up. Add a new row for each document, dataset, or formal data response used in the assessment.</x:v>
      </x:c>
    </x:row>
    <x:row r="4">
      <x:c r="A4" s="10" t="str">
        <x:v>Source ID</x:v>
      </x:c>
      <x:c r="B4" s="10" t="str">
        <x:v>Organisation</x:v>
      </x:c>
      <x:c r="C4" s="10" t="str">
        <x:v>Title</x:v>
      </x:c>
      <x:c r="D4" s="10" t="str">
        <x:v>Publication / access date</x:v>
      </x:c>
      <x:c r="E4" s="10" t="str">
        <x:v>URL</x:v>
      </x:c>
      <x:c r="F4" s="10" t="str">
        <x:v>What it supports</x:v>
      </x:c>
      <x:c r="G4" s="10" t="str">
        <x:v>Data limitations</x:v>
      </x:c>
      <x:c r="H4" s="10" t="str">
        <x:v>Acquisition status</x:v>
      </x:c>
    </x:row>
    <x:row r="5">
      <x:c r="A5" s="24" t="str">
        <x:v>SRC-001</x:v>
      </x:c>
      <x:c r="B5" s="54" t="str">
        <x:v>World Bank</x:v>
      </x:c>
      <x:c r="C5" s="54" t="str">
        <x:v>Environmental and Social Appraisal: National Agricultural Value Chain Development Project (P176758)</x:v>
      </x:c>
      <x:c r="D5" s="54" t="str">
        <x:v>19 Feb 2022</x:v>
      </x:c>
      <x:c r="E5" s="54" t="str">
        <x:v>https://documents1.worldbank.org/curated/en/099420002192237935/pdf/Appraisal0Envi0T00NAVCDP0000P176758.pdf</x:v>
      </x:c>
      <x:c r="F5" s="54" t="str">
        <x:v>Project name, ID, objective, implementing agency, original total project cost</x:v>
      </x:c>
      <x:c r="G5" s="54" t="str">
        <x:v>Design/appraisal document; does not establish achieved outcomes or impact</x:v>
      </x:c>
      <x:c r="H5" s="25" t="str">
        <x:v>Downloaded to raw_sources</x:v>
      </x:c>
    </x:row>
    <x:row r="6">
      <x:c r="A6" s="28" t="str">
        <x:v>SRC-002</x:v>
      </x:c>
      <x:c r="B6" s="55" t="str">
        <x:v>World Bank</x:v>
      </x:c>
      <x:c r="C6" s="55" t="str">
        <x:v>Implementation Status &amp; Results Report: National Agricultural Value Chain Development Project (P176758)</x:v>
      </x:c>
      <x:c r="D6" s="55" t="str">
        <x:v>2024</x:v>
      </x:c>
      <x:c r="E6" s="55" t="str">
        <x:v>https://documents1.worldbank.org/curated/en/099060524054512494/pdf/P176758151d6e604e1a4b31cb4b47d2baec.pdf</x:v>
      </x:c>
      <x:c r="F6" s="55" t="str">
        <x:v>Reported implementation status, including county participation agreements and coordination units</x:v>
      </x:c>
      <x:c r="G6" s="55" t="str">
        <x:v>Implementation report; reported progress must be checked against underlying administrative data</x:v>
      </x:c>
      <x:c r="H6" s="29" t="str">
        <x:v>Downloaded to raw_sources</x:v>
      </x:c>
    </x:row>
    <x:row r="7">
      <x:c r="A7" s="69" t="str">
        <x:v>SRC-003</x:v>
      </x:c>
      <x:c r="B7" s="70" t="str">
        <x:v>World Bank</x:v>
      </x:c>
      <x:c r="C7" s="70" t="str">
        <x:v>Implementation Status &amp; Results Report: NAVCDP (P176758), Seq. No. 1</x:v>
      </x:c>
      <x:c r="D7" s="70" t="str">
        <x:v>29 Aug 2022</x:v>
      </x:c>
      <x:c r="E7" s="70" t="str">
        <x:v>https://documents1.worldbank.org/curated/en/099225008302215079/pdf/P1767580ff572704708d7408b3141c9a6c2.pdf</x:v>
      </x:c>
      <x:c r="F7" s="70" t="str">
        <x:v>Original components, initial results framework, project dates, and targets</x:v>
      </x:c>
      <x:c r="G7" s="70" t="str">
        <x:v>Initial report; does not show later delivery or outcomes</x:v>
      </x:c>
      <x:c r="H7" s="71" t="str">
        <x:v>Downloaded to raw_sources</x:v>
      </x:c>
    </x:row>
    <x:row r="8">
      <x:c r="A8" s="69" t="str">
        <x:v>SRC-004</x:v>
      </x:c>
      <x:c r="B8" s="70" t="str">
        <x:v>World Bank</x:v>
      </x:c>
      <x:c r="C8" s="70" t="str">
        <x:v>Implementation Status &amp; Results Report: NAVCDP (P176758), Seq. No. 7 / Midterm Review</x:v>
      </x:c>
      <x:c r="D8" s="70" t="str">
        <x:v>19 Dec 2025</x:v>
      </x:c>
      <x:c r="E8" s="70" t="str">
        <x:v>https://documents1.worldbank.org/curated/en/099121925185034019/pdf/P176758-ebe066d9-0ac6-4675-b881-7eaa7312dec1.pdf</x:v>
      </x:c>
      <x:c r="F8" s="70" t="str">
        <x:v>Latest public implementation, aggregate results, financial performance, and midterm-review reporting</x:v>
      </x:c>
      <x:c r="G8" s="70" t="str">
        <x:v>Aggregate/provisional monitoring; no anonymous microdata, expenditure ledger, comparison group, or survey technical appendix</x:v>
      </x:c>
      <x:c r="H8" s="71" t="str">
        <x:v>Downloaded to raw_sources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43" hidden="0" customWidth="1"/>
    <x:col min="4" max="4" width="40" hidden="0" customWidth="1"/>
    <x:col min="5" max="5" width="20" hidden="0" customWidth="1"/>
    <x:col min="6" max="6" width="20" hidden="0" customWidth="1"/>
  </x:cols>
  <x:sheetData>
    <x:row r="1" ht="22" customHeight="1">
      <x:c r="A1" s="2" t="str">
        <x:v>INT-02 Evaluation Plan</x:v>
      </x:c>
    </x:row>
    <x:row r="2" ht="22" customHeight="1">
      <x:c r="A2" s="4" t="str">
        <x:v>Use this as the control checklist. A step is complete only when the stated output and supporting evidence are stored and reviewed.</x:v>
      </x:c>
    </x:row>
    <x:row r="4">
      <x:c r="A4" s="10" t="str">
        <x:v>Step</x:v>
      </x:c>
      <x:c r="B4" s="10" t="str">
        <x:v>Workstream</x:v>
      </x:c>
      <x:c r="C4" s="10" t="str">
        <x:v>Action</x:v>
      </x:c>
      <x:c r="D4" s="10" t="str">
        <x:v>Minimum evidence</x:v>
      </x:c>
      <x:c r="E4" s="10" t="str">
        <x:v>Output</x:v>
      </x:c>
      <x:c r="F4" s="10" t="str">
        <x:v>Status</x:v>
      </x:c>
    </x:row>
    <x:row r="5">
      <x:c r="A5" s="24" t="n">
        <x:v>1</x:v>
      </x:c>
      <x:c r="B5" s="54" t="str">
        <x:v>Define intervention</x:v>
      </x:c>
      <x:c r="C5" s="54" t="str">
        <x:v>Verify name, objective, agency, dates, geography, target groups, value chains, and financing.</x:v>
      </x:c>
      <x:c r="D5" s="54" t="str">
        <x:v>Official appraisal/implementation documents</x:v>
      </x:c>
      <x:c r="E5" s="54" t="str">
        <x:v>Verified intervention profile</x:v>
      </x:c>
      <x:c r="F5" s="25" t="str">
        <x:v>Complete</x:v>
      </x:c>
    </x:row>
    <x:row r="6">
      <x:c r="A6" s="26" t="n">
        <x:v>2</x:v>
      </x:c>
      <x:c r="B6" s="35" t="str">
        <x:v>Reconstruct policy/programme logic</x:v>
      </x:c>
      <x:c r="C6" s="35" t="str">
        <x:v>Map inputs, activities, outputs, outcomes, and intended impacts.</x:v>
      </x:c>
      <x:c r="D6" s="35" t="str">
        <x:v>Project design and results framework</x:v>
      </x:c>
      <x:c r="E6" s="35" t="str">
        <x:v>Programme logic model</x:v>
      </x:c>
      <x:c r="F6" s="27" t="str">
        <x:v>Complete</x:v>
      </x:c>
    </x:row>
    <x:row r="7">
      <x:c r="A7" s="26" t="n">
        <x:v>3</x:v>
      </x:c>
      <x:c r="B7" s="35" t="str">
        <x:v>Define evaluation questions</x:v>
      </x:c>
      <x:c r="C7" s="35" t="str">
        <x:v>Set questions on delivery, outcomes, equity, efficiency, and attribution.</x:v>
      </x:c>
      <x:c r="D7" s="35" t="str">
        <x:v>Approved assessment questions</x:v>
      </x:c>
      <x:c r="E7" s="35" t="str">
        <x:v>Evaluation-question set</x:v>
      </x:c>
      <x:c r="F7" s="27" t="str">
        <x:v>Complete</x:v>
      </x:c>
    </x:row>
    <x:row r="8">
      <x:c r="A8" s="26" t="n">
        <x:v>4</x:v>
      </x:c>
      <x:c r="B8" s="35" t="str">
        <x:v>Define indicators</x:v>
      </x:c>
      <x:c r="C8" s="35" t="str">
        <x:v>Specify definitions, units, formulas, and disaggregations.</x:v>
      </x:c>
      <x:c r="D8" s="35" t="str">
        <x:v>Indicator dictionary</x:v>
      </x:c>
      <x:c r="E8" s="35" t="str">
        <x:v>Indicator register</x:v>
      </x:c>
      <x:c r="F8" s="27" t="str">
        <x:v>Complete</x:v>
      </x:c>
    </x:row>
    <x:row r="9">
      <x:c r="A9" s="26" t="n">
        <x:v>5</x:v>
      </x:c>
      <x:c r="B9" s="35" t="str">
        <x:v>Map required data</x:v>
      </x:c>
      <x:c r="C9" s="35" t="str">
        <x:v>Map each indicator to a source, owner, period, and identifier.</x:v>
      </x:c>
      <x:c r="D9" s="35" t="str">
        <x:v>Data-requirements matrix</x:v>
      </x:c>
      <x:c r="E9" s="35" t="str">
        <x:v>Data map</x:v>
      </x:c>
      <x:c r="F9" s="27" t="str">
        <x:v>Complete</x:v>
      </x:c>
    </x:row>
    <x:row r="10">
      <x:c r="A10" s="26" t="n">
        <x:v>6</x:v>
      </x:c>
      <x:c r="B10" s="35" t="str">
        <x:v>Find/acquire data</x:v>
      </x:c>
      <x:c r="C10" s="35" t="str">
        <x:v>Obtain source files and log access conditions.</x:v>
      </x:c>
      <x:c r="D10" s="35" t="str">
        <x:v>Raw files / formal data responses</x:v>
      </x:c>
      <x:c r="E10" s="35" t="str">
        <x:v>Public source acquisition completed; restricted data unavailable</x:v>
      </x:c>
      <x:c r="F10" s="27" t="str">
        <x:v>Complete with limitation</x:v>
      </x:c>
    </x:row>
    <x:row r="11">
      <x:c r="A11" s="26" t="n">
        <x:v>7</x:v>
      </x:c>
      <x:c r="B11" s="35" t="str">
        <x:v>Assess data quality</x:v>
      </x:c>
      <x:c r="C11" s="35" t="str">
        <x:v>Check completeness, coverage, definitions, duplicates, and linkage keys.</x:v>
      </x:c>
      <x:c r="D11" s="35" t="str">
        <x:v>Quality assessment</x:v>
      </x:c>
      <x:c r="E11" s="35" t="str">
        <x:v>Quality note for public sources; restricted-data quality pending</x:v>
      </x:c>
      <x:c r="F11" s="27" t="str">
        <x:v>Complete with limitation</x:v>
      </x:c>
    </x:row>
    <x:row r="12">
      <x:c r="A12" s="26" t="n">
        <x:v>8</x:v>
      </x:c>
      <x:c r="B12" s="35" t="str">
        <x:v>Clean &amp; standardize</x:v>
      </x:c>
      <x:c r="C12" s="35" t="str">
        <x:v>Preserve raw data and document transformations.</x:v>
      </x:c>
      <x:c r="D12" s="35" t="str">
        <x:v>Clean dataset; cleaning log</x:v>
      </x:c>
      <x:c r="E12" s="35" t="str">
        <x:v>Public monitoring extract; no beneficiary microdata</x:v>
      </x:c>
      <x:c r="F12" s="27" t="str">
        <x:v>Complete with limitation</x:v>
      </x:c>
    </x:row>
    <x:row r="13">
      <x:c r="A13" s="26" t="n">
        <x:v>9</x:v>
      </x:c>
      <x:c r="B13" s="35" t="str">
        <x:v>Integrate datasets</x:v>
      </x:c>
      <x:c r="C13" s="35" t="str">
        <x:v>Merge only on documented keys and report match rates.</x:v>
      </x:c>
      <x:c r="D13" s="35" t="str">
        <x:v>Merge log; analytic file</x:v>
      </x:c>
      <x:c r="E13" s="35" t="str">
        <x:v>No integration possible; limitation documented</x:v>
      </x:c>
      <x:c r="F13" s="27" t="str">
        <x:v>Complete with limitation</x:v>
      </x:c>
    </x:row>
    <x:row r="14">
      <x:c r="A14" s="26" t="n">
        <x:v>10</x:v>
      </x:c>
      <x:c r="B14" s="35" t="str">
        <x:v>Analyse implementation</x:v>
      </x:c>
      <x:c r="C14" s="35" t="str">
        <x:v>Compare planned and actual delivery, reach, timeliness, and spending.</x:v>
      </x:c>
      <x:c r="D14" s="35" t="str">
        <x:v>Implementation data</x:v>
      </x:c>
      <x:c r="E14" s="35" t="str">
        <x:v>Implementation findings from public monitoring</x:v>
      </x:c>
      <x:c r="F14" s="27" t="str">
        <x:v>Complete with limitation</x:v>
      </x:c>
    </x:row>
    <x:row r="15">
      <x:c r="A15" s="26" t="n">
        <x:v>11</x:v>
      </x:c>
      <x:c r="B15" s="35" t="str">
        <x:v>Analyse outcomes</x:v>
      </x:c>
      <x:c r="C15" s="35" t="str">
        <x:v>Describe changes in agreed indicators.</x:v>
      </x:c>
      <x:c r="D15" s="35" t="str">
        <x:v>Outcome data with time/geographic context</x:v>
      </x:c>
      <x:c r="E15" s="35" t="str">
        <x:v>Outcome findings from public monitoring</x:v>
      </x:c>
      <x:c r="F15" s="27" t="str">
        <x:v>Complete with limitation</x:v>
      </x:c>
    </x:row>
    <x:row r="16">
      <x:c r="A16" s="26" t="n">
        <x:v>12</x:v>
      </x:c>
      <x:c r="B16" s="35" t="str">
        <x:v>Assess attribution/impact</x:v>
      </x:c>
      <x:c r="C16" s="35" t="str">
        <x:v>Use a credible counterfactual or state that attribution is not possible.</x:v>
      </x:c>
      <x:c r="D16" s="35" t="str">
        <x:v>Beneficiary exposure plus comparison/baseline-endline data</x:v>
      </x:c>
      <x:c r="E16" s="35" t="str">
        <x:v>Attribution assessment: not assessable</x:v>
      </x:c>
      <x:c r="F16" s="27" t="str">
        <x:v>Complete with limitation</x:v>
      </x:c>
    </x:row>
    <x:row r="17">
      <x:c r="A17" s="26" t="n">
        <x:v>13</x:v>
      </x:c>
      <x:c r="B17" s="35" t="str">
        <x:v>Assess equity</x:v>
      </x:c>
      <x:c r="C17" s="35" t="str">
        <x:v>Disaggregate reach and outcomes by priority groups and location.</x:v>
      </x:c>
      <x:c r="D17" s="35" t="str">
        <x:v>Sex, age, geography, vulnerability fields</x:v>
      </x:c>
      <x:c r="E17" s="35" t="str">
        <x:v>Equity assessment: partial</x:v>
      </x:c>
      <x:c r="F17" s="27" t="str">
        <x:v>Complete with limitation</x:v>
      </x:c>
    </x:row>
    <x:row r="18">
      <x:c r="A18" s="26" t="n">
        <x:v>14</x:v>
      </x:c>
      <x:c r="B18" s="35" t="str">
        <x:v>Assess efficiency/value for money</x:v>
      </x:c>
      <x:c r="C18" s="35" t="str">
        <x:v>Calculate delivery costs and, if possible, cost per attributable result.</x:v>
      </x:c>
      <x:c r="D18" s="35" t="str">
        <x:v>Audited expenditure and output data</x:v>
      </x:c>
      <x:c r="E18" s="35" t="str">
        <x:v>Value-for-money assessment: not assessable</x:v>
      </x:c>
      <x:c r="F18" s="27" t="str">
        <x:v>Complete with limitation</x:v>
      </x:c>
    </x:row>
    <x:row r="19">
      <x:c r="A19" s="26" t="n">
        <x:v>15</x:v>
      </x:c>
      <x:c r="B19" s="35" t="str">
        <x:v>Document limitations</x:v>
      </x:c>
      <x:c r="C19" s="35" t="str">
        <x:v>Record data and methodological constraints.</x:v>
      </x:c>
      <x:c r="D19" s="35" t="str">
        <x:v>Limitations log</x:v>
      </x:c>
      <x:c r="E19" s="35" t="str">
        <x:v>Limitations statement</x:v>
      </x:c>
      <x:c r="F19" s="27" t="str">
        <x:v>Complete</x:v>
      </x:c>
    </x:row>
    <x:row r="20">
      <x:c r="A20" s="26" t="n">
        <x:v>16</x:v>
      </x:c>
      <x:c r="B20" s="35" t="str">
        <x:v>Produce intervention findings</x:v>
      </x:c>
      <x:c r="C20" s="35" t="str">
        <x:v>Separate observed, reported, and attributable results.</x:v>
      </x:c>
      <x:c r="D20" s="35" t="str">
        <x:v>Reviewed evidence synthesis</x:v>
      </x:c>
      <x:c r="E20" s="35" t="str">
        <x:v>Findings note</x:v>
      </x:c>
      <x:c r="F20" s="27" t="str">
        <x:v>Complete</x:v>
      </x:c>
    </x:row>
    <x:row r="21">
      <x:c r="A21" s="26" t="n">
        <x:v>17</x:v>
      </x:c>
      <x:c r="B21" s="35" t="str">
        <x:v>Add intervention to Tracker</x:v>
      </x:c>
      <x:c r="C21" s="35" t="str">
        <x:v>Summarise ratings and evidence strength in Overview/master tracker.</x:v>
      </x:c>
      <x:c r="D21" s="35" t="str">
        <x:v>Approved findings</x:v>
      </x:c>
      <x:c r="E21" s="35" t="str">
        <x:v>Tracker entry</x:v>
      </x:c>
      <x:c r="F21" s="27" t="str">
        <x:v>Complete</x:v>
      </x:c>
    </x:row>
    <x:row r="22">
      <x:c r="A22" s="28" t="n">
        <x:v>18</x:v>
      </x:c>
      <x:c r="B22" s="55" t="str">
        <x:v>Archive reusable methodology</x:v>
      </x:c>
      <x:c r="C22" s="55" t="str">
        <x:v>Save sources, data dictionary, logs, methods, and reproducible outputs.</x:v>
      </x:c>
      <x:c r="D22" s="55" t="str">
        <x:v>Complete evidence package</x:v>
      </x:c>
      <x:c r="E22" s="55" t="str">
        <x:v>Archived method</x:v>
      </x:c>
      <x:c r="F22" s="29" t="str">
        <x:v>Complete</x:v>
      </x:c>
    </x:row>
  </x:sheetData>
  <x:mergeCells>
    <x:mergeCell ref="A1:H1"/>
    <x:mergeCell ref="A2:H2"/>
  </x:mergeCells>
  <x:conditionalFormatting sqref="F5:F22">
    <x:cfRule type="containsText" dxfId="0" priority="1" operator="containsText" text="Complete"/>
    <x:cfRule type="containsText" dxfId="1" priority="2" operator="containsText" text="Blocked"/>
  </x:conditionalFormatting>
  <x:dataValidations count="1">
    <x:dataValidation type="list" sqref="F5:F22">
      <x:formula1>"Not started,In progress,Complete,Complete with limitation,Blocked"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3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42" hidden="0" customWidth="1"/>
  </x:cols>
  <x:sheetData>
    <x:row r="1" ht="22" customHeight="1">
      <x:c r="A1" s="2" t="str">
        <x:v>INT-02 Acquisition Log</x:v>
      </x:c>
    </x:row>
    <x:row r="2" ht="22" customHeight="1">
      <x:c r="A2" s="4" t="str">
        <x:v>Log every data request, download, receipt, and access limitation. Store raw files outside the workbook and reference their exact path here.</x:v>
      </x:c>
    </x:row>
    <x:row r="4">
      <x:c r="A4" s="10" t="str">
        <x:v>Acquisition ID</x:v>
      </x:c>
      <x:c r="B4" s="10" t="str">
        <x:v>Dataset / document</x:v>
      </x:c>
      <x:c r="C4" s="10" t="str">
        <x:v>Purpose</x:v>
      </x:c>
      <x:c r="D4" s="10" t="str">
        <x:v>Owner / source</x:v>
      </x:c>
      <x:c r="E4" s="10" t="str">
        <x:v>Period / coverage needed</x:v>
      </x:c>
      <x:c r="F4" s="10" t="str">
        <x:v>Access route</x:v>
      </x:c>
      <x:c r="G4" s="10" t="str">
        <x:v>Status</x:v>
      </x:c>
      <x:c r="H4" s="10" t="str">
        <x:v>Raw file path</x:v>
      </x:c>
      <x:c r="I4" s="10" t="str">
        <x:v>Notes</x:v>
      </x:c>
    </x:row>
    <x:row r="5">
      <x:c r="A5" s="24" t="str">
        <x:v>ACQ-001</x:v>
      </x:c>
      <x:c r="B5" s="54" t="str">
        <x:v>Project appraisal / design documents</x:v>
      </x:c>
      <x:c r="C5" s="54" t="str">
        <x:v>Define intervention and results logic</x:v>
      </x:c>
      <x:c r="D5" s="54" t="str">
        <x:v>World Bank / MoALD</x:v>
      </x:c>
      <x:c r="E5" s="54" t="str">
        <x:v>Project lifetime</x:v>
      </x:c>
      <x:c r="F5" s="54" t="str">
        <x:v>Public web documents</x:v>
      </x:c>
      <x:c r="G5" s="54" t="str">
        <x:v>Downloaded and inspected</x:v>
      </x:c>
      <x:c r="H5" s="54" t="str">
        <x:v>data/int-02/raw_sources/NAVCDP_appraisal_2022_source.pdf</x:v>
      </x:c>
      <x:c r="I5" s="25" t="str">
        <x:v>Source text extracted; official scope evidence</x:v>
      </x:c>
    </x:row>
    <x:row r="6">
      <x:c r="A6" s="26" t="str">
        <x:v>ACQ-002</x:v>
      </x:c>
      <x:c r="B6" s="35" t="str">
        <x:v>Implementation status reports</x:v>
      </x:c>
      <x:c r="C6" s="35" t="str">
        <x:v>Analyse delivery progress and results framework</x:v>
      </x:c>
      <x:c r="D6" s="35" t="str">
        <x:v>World Bank / project implementation unit</x:v>
      </x:c>
      <x:c r="E6" s="35" t="str">
        <x:v>2022 onward</x:v>
      </x:c>
      <x:c r="F6" s="35" t="str">
        <x:v>Public web documents</x:v>
      </x:c>
      <x:c r="G6" s="35" t="str">
        <x:v>Downloaded and inspected</x:v>
      </x:c>
      <x:c r="H6" s="35" t="str">
        <x:v>data/int-02/raw_sources/NAVCDP_ISR_2024_source.pdf</x:v>
      </x:c>
      <x:c r="I6" s="27" t="str">
        <x:v>Source text extracted; official reported monitoring values</x:v>
      </x:c>
    </x:row>
    <x:row r="7">
      <x:c r="A7" s="28" t="str">
        <x:v>ACQ-003</x:v>
      </x:c>
      <x:c r="B7" s="55" t="str">
        <x:v>Beneficiary, delivery, and expenditure records</x:v>
      </x:c>
      <x:c r="C7" s="55" t="str">
        <x:v>Implementation, equity, value for money, and impact assessment</x:v>
      </x:c>
      <x:c r="D7" s="55" t="str">
        <x:v>NAVCDP implementation unit / counties</x:v>
      </x:c>
      <x:c r="E7" s="55" t="str">
        <x:v>Full project period</x:v>
      </x:c>
      <x:c r="F7" s="55" t="str">
        <x:v>Formal data request</x:v>
      </x:c>
      <x:c r="G7" s="55" t="str">
        <x:v>Public evidence acquired; restricted data unavailable</x:v>
      </x:c>
      <x:c r="H7" s="55" t="str">
        <x:v>Pending formal request</x:v>
      </x:c>
      <x:c r="I7" s="29" t="str">
        <x:v>Public acquisition complete; beneficiary/expenditure data not public</x:v>
      </x:c>
    </x:row>
    <x:row r="8">
      <x:c r="A8" s="69" t="str">
        <x:v>ACQ-004</x:v>
      </x:c>
      <x:c r="B8" s="70" t="str">
        <x:v>Initial Implementation Status &amp; Results Report</x:v>
      </x:c>
      <x:c r="C8" s="70" t="str">
        <x:v>Confirm original components and original indicators</x:v>
      </x:c>
      <x:c r="D8" s="70" t="str">
        <x:v>World Bank</x:v>
      </x:c>
      <x:c r="E8" s="70" t="str">
        <x:v>Aug 2022</x:v>
      </x:c>
      <x:c r="F8" s="70" t="str">
        <x:v>Public web document</x:v>
      </x:c>
      <x:c r="G8" s="70" t="str">
        <x:v>Downloaded and inspected</x:v>
      </x:c>
      <x:c r="H8" s="70" t="str">
        <x:v>data/int-02/raw_sources/NAVCDP_ISR_2022_source.pdf</x:v>
      </x:c>
      <x:c r="I8" s="71" t="str">
        <x:v>SRC-003 logged</x:v>
      </x:c>
    </x:row>
    <x:row r="9">
      <x:c r="A9" s="69" t="str">
        <x:v>ACQ-005</x:v>
      </x:c>
      <x:c r="B9" s="70" t="str">
        <x:v>Midterm Review Implementation Status &amp; Results Report</x:v>
      </x:c>
      <x:c r="C9" s="70" t="str">
        <x:v>Latest public implementation, outcome, equity, and financial monitoring evidence</x:v>
      </x:c>
      <x:c r="D9" s="70" t="str">
        <x:v>World Bank</x:v>
      </x:c>
      <x:c r="E9" s="70" t="str">
        <x:v>Through 25 Nov 2025</x:v>
      </x:c>
      <x:c r="F9" s="70" t="str">
        <x:v>Public web document</x:v>
      </x:c>
      <x:c r="G9" s="70" t="str">
        <x:v>Downloaded and inspected</x:v>
      </x:c>
      <x:c r="H9" s="70" t="str">
        <x:v>data/int-02/raw_sources/NAVCDP_ISR_2025_source.pdf</x:v>
      </x:c>
      <x:c r="I9" s="71" t="str">
        <x:v>Latest public source; MTR indicators include validation/deduplication note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24" hidden="0" customWidth="1"/>
    <x:col min="8" max="8" width="24" hidden="0" customWidth="1"/>
  </x:cols>
  <x:sheetData>
    <x:row r="1" ht="22" customHeight="1">
      <x:c r="A1" s="2" t="str">
        <x:v>INT-02 Data Quality Assessment</x:v>
      </x:c>
    </x:row>
    <x:row r="2" ht="22" customHeight="1">
      <x:c r="A2" s="4" t="str">
        <x:v>Rate only datasets that have been obtained and inspected. Current entries identify the pending checks; they are not quality ratings.</x:v>
      </x:c>
    </x:row>
    <x:row r="4">
      <x:c r="A4" s="81" t="str">
        <x:v>Dataset</x:v>
      </x:c>
      <x:c r="B4" s="81" t="str">
        <x:v>Source ID / acquisition ID</x:v>
      </x:c>
      <x:c r="C4" s="81" t="str">
        <x:v>Coverage check</x:v>
      </x:c>
      <x:c r="D4" s="81" t="str">
        <x:v>Key fields check</x:v>
      </x:c>
      <x:c r="E4" s="81" t="str">
        <x:v>Linkage key</x:v>
      </x:c>
      <x:c r="F4" s="81" t="str">
        <x:v>Known limitation</x:v>
      </x:c>
      <x:c r="G4" s="81" t="str">
        <x:v>Quality rating</x:v>
      </x:c>
      <x:c r="H4" s="81" t="str">
        <x:v>Next action</x:v>
      </x:c>
    </x:row>
    <x:row r="5">
      <x:c r="A5" s="24" t="str">
        <x:v>Official appraisal document</x:v>
      </x:c>
      <x:c r="B5" s="54" t="str">
        <x:v>SRC-001 / ACQ-001</x:v>
      </x:c>
      <x:c r="C5" s="54" t="str">
        <x:v>23-page document downloaded and inspected</x:v>
      </x:c>
      <x:c r="D5" s="54" t="str">
        <x:v>Project design and safeguards fields available</x:v>
      </x:c>
      <x:c r="E5" s="54" t="str">
        <x:v>Project ID</x:v>
      </x:c>
      <x:c r="F5" s="54" t="str">
        <x:v>Design/safeguards document; not a beneficiary or impact dataset</x:v>
      </x:c>
      <x:c r="G5" s="54" t="str">
        <x:v>Medium — design evidence</x:v>
      </x:c>
      <x:c r="H5" s="25" t="str">
        <x:v>Use for programme logic and equity risks only</x:v>
      </x:c>
    </x:row>
    <x:row r="6">
      <x:c r="A6" s="26" t="str">
        <x:v>Official implementation reports</x:v>
      </x:c>
      <x:c r="B6" s="35" t="str">
        <x:v>SRC-002 / SRC-003 / SRC-004</x:v>
      </x:c>
      <x:c r="C6" s="35" t="str">
        <x:v>2022, 2024, and 2025 reports downloaded, text-extracted, and visually checked</x:v>
      </x:c>
      <x:c r="D6" s="35" t="str">
        <x:v>Aggregate indicators, targets, and reported values available</x:v>
      </x:c>
      <x:c r="E6" s="35" t="str">
        <x:v>Project ID; report date</x:v>
      </x:c>
      <x:c r="F6" s="35" t="str">
        <x:v>Aggregate monitoring; some values revised after validation/deduplication; survey methods/sample not public</x:v>
      </x:c>
      <x:c r="G6" s="35" t="str">
        <x:v>Medium — reported monitoring</x:v>
      </x:c>
      <x:c r="H6" s="27" t="str">
        <x:v>Do not use as causal impact evidence</x:v>
      </x:c>
    </x:row>
    <x:row r="7">
      <x:c r="A7" s="26" t="str">
        <x:v>Clean monitoring extract</x:v>
      </x:c>
      <x:c r="B7" s="35" t="str">
        <x:v>13 Monitoring Data</x:v>
      </x:c>
      <x:c r="C7" s="35" t="str">
        <x:v>Selected 2025 official indicators standardized into a common table</x:v>
      </x:c>
      <x:c r="D7" s="35" t="str">
        <x:v>Baseline/actual/target/date/source retained</x:v>
      </x:c>
      <x:c r="E7" s="35" t="str">
        <x:v>Indicator ID + reporting date</x:v>
      </x:c>
      <x:c r="F7" s="35" t="str">
        <x:v>No individual, county, expenditure, or comparison fields</x:v>
      </x:c>
      <x:c r="G7" s="35" t="str">
        <x:v>Medium — descriptive tracking only</x:v>
      </x:c>
      <x:c r="H7" s="27" t="str">
        <x:v>Update when a newer ISR or microdata are obtained</x:v>
      </x:c>
    </x:row>
    <x:row r="8">
      <x:c r="A8" s="28" t="str">
        <x:v>Programme administrative and expenditure data</x:v>
      </x:c>
      <x:c r="B8" s="55" t="str">
        <x:v>ACQ-003</x:v>
      </x:c>
      <x:c r="C8" s="55" t="str">
        <x:v>Not public / not received</x:v>
      </x:c>
      <x:c r="D8" s="55" t="str">
        <x:v>Not received</x:v>
      </x:c>
      <x:c r="E8" s="55" t="str">
        <x:v>Unknown</x:v>
      </x:c>
      <x:c r="F8" s="55" t="str">
        <x:v>Required for delivery verification, equity, value for money, and beneficiary-linked analysis</x:v>
      </x:c>
      <x:c r="G8" s="55" t="str">
        <x:v>Unavailable</x:v>
      </x:c>
      <x:c r="H8" s="29" t="str">
        <x:v>Submit formal data request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4" max="4" width="24" hidden="0" customWidth="1"/>
    <x:col min="5" max="5" width="24" hidden="0" customWidth="1"/>
    <x:col min="6" max="6" width="24" hidden="0" customWidth="1"/>
    <x:col min="3" max="3" width="64" hidden="0" customWidth="1"/>
  </x:cols>
  <x:sheetData>
    <x:row r="1" ht="22" customHeight="1">
      <x:c r="A1" s="2" t="str">
        <x:v>INT-02 Findings</x:v>
      </x:c>
    </x:row>
    <x:row r="2" ht="22" customHeight="1">
      <x:c r="A2" s="4" t="str">
        <x:v>Findings will be added only after the relevant evidence has been reviewed. At set-up, the workbook records scope and evidence gaps rather than outcomes.</x:v>
      </x:c>
    </x:row>
    <x:row r="4">
      <x:c r="A4" s="10" t="str">
        <x:v>Finding ID</x:v>
      </x:c>
      <x:c r="B4" s="10" t="str">
        <x:v>Area</x:v>
      </x:c>
      <x:c r="C4" s="10" t="str">
        <x:v>Current statement</x:v>
      </x:c>
      <x:c r="D4" s="10" t="str">
        <x:v>Evidence strength</x:v>
      </x:c>
      <x:c r="E4" s="10" t="str">
        <x:v>Supporting evidence</x:v>
      </x:c>
      <x:c r="F4" s="10" t="str">
        <x:v>Status</x:v>
      </x:c>
    </x:row>
    <x:row r="5">
      <x:c r="A5" s="24" t="str">
        <x:v>FND-001</x:v>
      </x:c>
      <x:c r="B5" s="54" t="str">
        <x:v>Intervention definition</x:v>
      </x:c>
      <x:c r="C5" s="54" t="str">
        <x:v>NAVCDP is defined using official project documentation; its stated objective concerns market participation and value addition.</x:v>
      </x:c>
      <x:c r="D5" s="54" t="str">
        <x:v>High for programme design</x:v>
      </x:c>
      <x:c r="E5" s="54" t="str">
        <x:v>EVD-001 / SRC-001</x:v>
      </x:c>
      <x:c r="F5" s="25" t="str">
        <x:v>Provisional profile complete</x:v>
      </x:c>
    </x:row>
    <x:row r="6">
      <x:c r="A6" s="26" t="str">
        <x:v>FND-002</x:v>
      </x:c>
      <x:c r="B6" s="35" t="str">
        <x:v>Implementation</x:v>
      </x:c>
      <x:c r="C6" s="35" t="str">
        <x:v>Official reporting identifies county participation agreements and county coordination units. Underlying administrative records are still required for a full delivery assessment.</x:v>
      </x:c>
      <x:c r="D6" s="35" t="str">
        <x:v>Moderate pending verification</x:v>
      </x:c>
      <x:c r="E6" s="35" t="str">
        <x:v>EVD-002 / SRC-002</x:v>
      </x:c>
      <x:c r="F6" s="27" t="str">
        <x:v>Further data required</x:v>
      </x:c>
    </x:row>
    <x:row r="7">
      <x:c r="A7" s="28" t="str">
        <x:v>FND-003</x:v>
      </x:c>
      <x:c r="B7" s="55" t="str">
        <x:v>Outcomes and impact</x:v>
      </x:c>
      <x:c r="C7" s="55" t="str">
        <x:v>No productivity, livelihood, market, food-security, resilience, sustainability, equity, or value-for-money conclusion is entered at this stage.</x:v>
      </x:c>
      <x:c r="D7" s="55" t="str">
        <x:v>No outcome evidence assessed</x:v>
      </x:c>
      <x:c r="E7" s="55" t="str">
        <x:v>Data gap</x:v>
      </x:c>
      <x:c r="F7" s="29" t="str">
        <x:v>Do not infer impact</x:v>
      </x:c>
    </x:row>
    <x:row r="8">
      <x:c r="A8" s="24" t="str">
        <x:v>FND-004</x:v>
      </x:c>
      <x:c r="B8" s="54" t="str">
        <x:v>Programme logic</x:v>
      </x:c>
      <x:c r="C8" s="54" t="str">
        <x:v>NAVCDP combines producer-capacity support, climate-smart value-chain ecosystem investments, urban food-system pilots, and project coordination. The logic is now documented in 11 Programme Logic.</x:v>
      </x:c>
      <x:c r="D8" s="54" t="str">
        <x:v>High for stated design</x:v>
      </x:c>
      <x:c r="E8" s="54" t="str">
        <x:v>EVD-003 / SRC-003</x:v>
      </x:c>
      <x:c r="F8" s="25" t="str">
        <x:v>Design logic complete</x:v>
      </x:c>
    </x:row>
    <x:row r="9">
      <x:c r="A9" s="26" t="str">
        <x:v>FND-005</x:v>
      </x:c>
      <x:c r="B9" s="35" t="str">
        <x:v>Reported implementation reach</x:v>
      </x:c>
      <x:c r="C9" s="35" t="str">
        <x:v>The 2024 ISR reports 1,474,083 farmers reached with assets/services, including 884,449 female farmers, as at 9 September 2024. The underlying register is required to verify definitions and prevent double counting.</x:v>
      </x:c>
      <x:c r="D9" s="35" t="str">
        <x:v>Medium</x:v>
      </x:c>
      <x:c r="E9" s="35" t="str">
        <x:v>EVD-004 / SRC-002</x:v>
      </x:c>
      <x:c r="F9" s="27" t="str">
        <x:v>Reported monitoring only</x:v>
      </x:c>
    </x:row>
    <x:row r="10">
      <x:c r="A10" s="26" t="str">
        <x:v>FND-006</x:v>
      </x:c>
      <x:c r="B10" s="35" t="str">
        <x:v>Market outcomes</x:v>
      </x:c>
      <x:c r="C10" s="35" t="str">
        <x:v>The two PDO market indicators were reported as zero at 9 September 2024. This is a monitoring status, not evidence that NAVCDP caused no market change.</x:v>
      </x:c>
      <x:c r="D10" s="35" t="str">
        <x:v>Medium</x:v>
      </x:c>
      <x:c r="E10" s="35" t="str">
        <x:v>EVD-005 / SRC-002</x:v>
      </x:c>
      <x:c r="F10" s="27" t="str">
        <x:v>No attribution</x:v>
      </x:c>
    </x:row>
    <x:row r="11">
      <x:c r="A11" s="26" t="str">
        <x:v>FND-007</x:v>
      </x:c>
      <x:c r="B11" s="35" t="str">
        <x:v>Productivity</x:v>
      </x:c>
      <x:c r="C11" s="35" t="str">
        <x:v>The ISR reports 90,947 farmers adopting improved agricultural technology, including 54,568 female farmers. It does not report yield, production, or income changes attributable to NAVCDP.</x:v>
      </x:c>
      <x:c r="D11" s="35" t="str">
        <x:v>Medium</x:v>
      </x:c>
      <x:c r="E11" s="35" t="str">
        <x:v>EVD-006 / SRC-002</x:v>
      </x:c>
      <x:c r="F11" s="27" t="str">
        <x:v>No impact conclusion</x:v>
      </x:c>
    </x:row>
    <x:row r="12">
      <x:c r="A12" s="26" t="str">
        <x:v>FND-008</x:v>
      </x:c>
      <x:c r="B12" s="35" t="str">
        <x:v>Food security and resilience</x:v>
      </x:c>
      <x:c r="C12" s="35" t="str">
        <x:v>The reported food-and-nutrition-security measure had no baseline conducted. Food-security impact therefore cannot be assessed from this source.</x:v>
      </x:c>
      <x:c r="D12" s="35" t="str">
        <x:v>High for limitation</x:v>
      </x:c>
      <x:c r="E12" s="35" t="str">
        <x:v>EVD-007 / SRC-002</x:v>
      </x:c>
      <x:c r="F12" s="27" t="str">
        <x:v>Data gap recorded</x:v>
      </x:c>
    </x:row>
    <x:row r="13">
      <x:c r="A13" s="28" t="str">
        <x:v>FND-009</x:v>
      </x:c>
      <x:c r="B13" s="55" t="str">
        <x:v>Equity</x:v>
      </x:c>
      <x:c r="C13" s="55" t="str">
        <x:v>Women and vulnerable groups require explicit reach and outcome checks because the project documentation identifies risks of exclusion and elite capture.</x:v>
      </x:c>
      <x:c r="D13" s="55" t="str">
        <x:v>High for risk identification</x:v>
      </x:c>
      <x:c r="E13" s="55" t="str">
        <x:v>EVD-008 / SRC-001</x:v>
      </x:c>
      <x:c r="F13" s="29" t="str">
        <x:v>Equity data request required</x:v>
      </x:c>
    </x:row>
    <x:row r="14">
      <x:c r="A14" s="24" t="str">
        <x:v>FND-010</x:v>
      </x:c>
      <x:c r="B14" s="54" t="str">
        <x:v>Implementation</x:v>
      </x:c>
      <x:c r="C14" s="54" t="str">
        <x:v>The 2025 ISR reports 1,329,542 direct beneficiaries after validation/deduplication and 74.06% loan disbursement. Implementation is substantial but not uniformly complete.</x:v>
      </x:c>
      <x:c r="D14" s="54" t="str">
        <x:v>Medium</x:v>
      </x:c>
      <x:c r="E14" s="54" t="str">
        <x:v>EVD-009 / EVD-013 / SRC-004</x:v>
      </x:c>
      <x:c r="F14" s="25" t="str">
        <x:v>Final preliminary finding</x:v>
      </x:c>
    </x:row>
    <x:row r="15">
      <x:c r="A15" s="26" t="str">
        <x:v>FND-011</x:v>
      </x:c>
      <x:c r="B15" s="35" t="str">
        <x:v>Market outcomes</x:v>
      </x:c>
      <x:c r="C15" s="35" t="str">
        <x:v>Provisional MTR figures report 43.23 for the market-sales indicator and 23.80 for value-added sales, both below their end targets. Attribution is not assessable.</x:v>
      </x:c>
      <x:c r="D15" s="35" t="str">
        <x:v>Medium</x:v>
      </x:c>
      <x:c r="E15" s="35" t="str">
        <x:v>EVD-010 / SRC-004</x:v>
      </x:c>
      <x:c r="F15" s="27" t="str">
        <x:v>Final preliminary finding</x:v>
      </x:c>
    </x:row>
    <x:row r="16">
      <x:c r="A16" s="26" t="str">
        <x:v>FND-012</x:v>
      </x:c>
      <x:c r="B16" s="35" t="str">
        <x:v>Productivity and livelihoods</x:v>
      </x:c>
      <x:c r="C16" s="35" t="str">
        <x:v>Technology adoption is reported above target, while FPO turnover growth is below target. Yield, farm income, and profitability impacts are not assessed.</x:v>
      </x:c>
      <x:c r="D16" s="35" t="str">
        <x:v>Medium for reporting; Low for impact</x:v>
      </x:c>
      <x:c r="E16" s="35" t="str">
        <x:v>EVD-011 / SRC-004</x:v>
      </x:c>
      <x:c r="F16" s="27" t="str">
        <x:v>Final preliminary finding</x:v>
      </x:c>
    </x:row>
    <x:row r="17">
      <x:c r="A17" s="26" t="str">
        <x:v>FND-013</x:v>
      </x:c>
      <x:c r="B17" s="35" t="str">
        <x:v>Sustainability and resilience</x:v>
      </x:c>
      <x:c r="C17" s="35" t="str">
        <x:v>Climate-service access and irrigation/SLM delivery are reported, but environmental and shock-resilience impacts are not assessed.</x:v>
      </x:c>
      <x:c r="D17" s="35" t="str">
        <x:v>Medium for delivery; Low for impact</x:v>
      </x:c>
      <x:c r="E17" s="35" t="str">
        <x:v>EVD-012 / SRC-004</x:v>
      </x:c>
      <x:c r="F17" s="27" t="str">
        <x:v>Final preliminary finding</x:v>
      </x:c>
    </x:row>
    <x:row r="18">
      <x:c r="A18" s="26" t="str">
        <x:v>FND-014</x:v>
      </x:c>
      <x:c r="B18" s="35" t="str">
        <x:v>Equity</x:v>
      </x:c>
      <x:c r="C18" s="35" t="str">
        <x:v>Female reach is substantial in aggregate reporting, while VMG microproject support is reported as zero. Outcome equity cannot be assessed.</x:v>
      </x:c>
      <x:c r="D18" s="35" t="str">
        <x:v>Medium</x:v>
      </x:c>
      <x:c r="E18" s="35" t="str">
        <x:v>EVD-009 / EVD-015 / SRC-004</x:v>
      </x:c>
      <x:c r="F18" s="27" t="str">
        <x:v>Final preliminary finding</x:v>
      </x:c>
    </x:row>
    <x:row r="19">
      <x:c r="A19" s="28" t="str">
        <x:v>FND-015</x:v>
      </x:c>
      <x:c r="B19" s="55" t="str">
        <x:v>Efficiency and attribution</x:v>
      </x:c>
      <x:c r="C19" s="55" t="str">
        <x:v>Neither value for money nor causal impact can be assessed with public aggregate reports. The full data specification is recorded in 16 Data Request.</x:v>
      </x:c>
      <x:c r="D19" s="55" t="str">
        <x:v>Low</x:v>
      </x:c>
      <x:c r="E19" s="55" t="str">
        <x:v>EVD-013 / EVD-014 / SRC-004</x:v>
      </x:c>
      <x:c r="F19" s="29" t="str">
        <x:v>Final preliminary finding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56" hidden="0" customWidth="1"/>
    <x:col min="3" max="3" width="30" hidden="0" customWidth="1"/>
    <x:col min="4" max="4" width="46" hidden="0" customWidth="1"/>
  </x:cols>
  <x:sheetData>
    <x:row r="1" ht="22" customHeight="1">
      <x:c r="A1" s="2" t="str">
        <x:v>Reusable Intervention Method</x:v>
      </x:c>
    </x:row>
    <x:row r="2" ht="22" customHeight="1">
      <x:c r="A2" s="4" t="str">
        <x:v>Copy this method for INT-03 onward. The aim is consistent, auditable evidence rather than a claim for every intervention.</x:v>
      </x:c>
    </x:row>
    <x:row r="4">
      <x:c r="A4" s="10" t="str">
        <x:v>Step</x:v>
      </x:c>
      <x:c r="B4" s="10" t="str">
        <x:v>Method</x:v>
      </x:c>
      <x:c r="C4" s="10" t="str">
        <x:v>Minimum record</x:v>
      </x:c>
      <x:c r="D4" s="10" t="str">
        <x:v>Gate before progressing</x:v>
      </x:c>
    </x:row>
    <x:row r="5">
      <x:c r="A5" s="24" t="n">
        <x:v>1</x:v>
      </x:c>
      <x:c r="B5" s="54" t="str">
        <x:v>Define intervention: Verify name, objective, agency, dates, geography, target groups, value chains, and financing.</x:v>
      </x:c>
      <x:c r="C5" s="54" t="str">
        <x:v>Verified intervention profile</x:v>
      </x:c>
      <x:c r="D5" s="25" t="str">
        <x:v>Official appraisal/implementation documents</x:v>
      </x:c>
    </x:row>
    <x:row r="6">
      <x:c r="A6" s="26" t="n">
        <x:v>2</x:v>
      </x:c>
      <x:c r="B6" s="35" t="str">
        <x:v>Reconstruct policy/programme logic: Map inputs, activities, outputs, outcomes, and intended impacts.</x:v>
      </x:c>
      <x:c r="C6" s="35" t="str">
        <x:v>Programme logic model</x:v>
      </x:c>
      <x:c r="D6" s="27" t="str">
        <x:v>Project design and results framework</x:v>
      </x:c>
    </x:row>
    <x:row r="7">
      <x:c r="A7" s="26" t="n">
        <x:v>3</x:v>
      </x:c>
      <x:c r="B7" s="35" t="str">
        <x:v>Define evaluation questions: Set questions on delivery, outcomes, equity, efficiency, and attribution.</x:v>
      </x:c>
      <x:c r="C7" s="35" t="str">
        <x:v>Evaluation-question set</x:v>
      </x:c>
      <x:c r="D7" s="27" t="str">
        <x:v>Approved assessment questions</x:v>
      </x:c>
    </x:row>
    <x:row r="8">
      <x:c r="A8" s="26" t="n">
        <x:v>4</x:v>
      </x:c>
      <x:c r="B8" s="35" t="str">
        <x:v>Define indicators: Specify definitions, units, formulas, and disaggregations.</x:v>
      </x:c>
      <x:c r="C8" s="35" t="str">
        <x:v>Indicator register</x:v>
      </x:c>
      <x:c r="D8" s="27" t="str">
        <x:v>Indicator dictionary</x:v>
      </x:c>
    </x:row>
    <x:row r="9">
      <x:c r="A9" s="26" t="n">
        <x:v>5</x:v>
      </x:c>
      <x:c r="B9" s="35" t="str">
        <x:v>Map required data: Map each indicator to a source, owner, period, and identifier.</x:v>
      </x:c>
      <x:c r="C9" s="35" t="str">
        <x:v>Data map</x:v>
      </x:c>
      <x:c r="D9" s="27" t="str">
        <x:v>Data-requirements matrix</x:v>
      </x:c>
    </x:row>
    <x:row r="10">
      <x:c r="A10" s="26" t="n">
        <x:v>6</x:v>
      </x:c>
      <x:c r="B10" s="35" t="str">
        <x:v>Find/acquire data: Obtain source files and log access conditions.</x:v>
      </x:c>
      <x:c r="C10" s="35" t="str">
        <x:v>Acquisition log</x:v>
      </x:c>
      <x:c r="D10" s="27" t="str">
        <x:v>Raw files / formal data responses</x:v>
      </x:c>
    </x:row>
    <x:row r="11">
      <x:c r="A11" s="26" t="n">
        <x:v>7</x:v>
      </x:c>
      <x:c r="B11" s="35" t="str">
        <x:v>Assess data quality: Check completeness, coverage, definitions, duplicates, and linkage keys.</x:v>
      </x:c>
      <x:c r="C11" s="35" t="str">
        <x:v>Data-quality note</x:v>
      </x:c>
      <x:c r="D11" s="27" t="str">
        <x:v>Quality assessment</x:v>
      </x:c>
    </x:row>
    <x:row r="12">
      <x:c r="A12" s="26" t="n">
        <x:v>8</x:v>
      </x:c>
      <x:c r="B12" s="35" t="str">
        <x:v>Clean &amp; standardize: Preserve raw data and document transformations.</x:v>
      </x:c>
      <x:c r="C12" s="35" t="str">
        <x:v>Analysis-ready data</x:v>
      </x:c>
      <x:c r="D12" s="27" t="str">
        <x:v>Clean dataset; cleaning log</x:v>
      </x:c>
    </x:row>
    <x:row r="13">
      <x:c r="A13" s="26" t="n">
        <x:v>9</x:v>
      </x:c>
      <x:c r="B13" s="35" t="str">
        <x:v>Integrate datasets: Merge only on documented keys and report match rates.</x:v>
      </x:c>
      <x:c r="C13" s="35" t="str">
        <x:v>Integrated dataset</x:v>
      </x:c>
      <x:c r="D13" s="27" t="str">
        <x:v>Merge log; analytic file</x:v>
      </x:c>
    </x:row>
    <x:row r="14">
      <x:c r="A14" s="26" t="n">
        <x:v>10</x:v>
      </x:c>
      <x:c r="B14" s="35" t="str">
        <x:v>Analyse implementation: Compare planned and actual delivery, reach, timeliness, and spending.</x:v>
      </x:c>
      <x:c r="C14" s="35" t="str">
        <x:v>Implementation findings</x:v>
      </x:c>
      <x:c r="D14" s="27" t="str">
        <x:v>Implementation data</x:v>
      </x:c>
    </x:row>
    <x:row r="15">
      <x:c r="A15" s="26" t="n">
        <x:v>11</x:v>
      </x:c>
      <x:c r="B15" s="35" t="str">
        <x:v>Analyse outcomes: Describe changes in agreed indicators.</x:v>
      </x:c>
      <x:c r="C15" s="35" t="str">
        <x:v>Outcome findings</x:v>
      </x:c>
      <x:c r="D15" s="27" t="str">
        <x:v>Outcome data with time/geographic context</x:v>
      </x:c>
    </x:row>
    <x:row r="16">
      <x:c r="A16" s="26" t="n">
        <x:v>12</x:v>
      </x:c>
      <x:c r="B16" s="35" t="str">
        <x:v>Assess attribution/impact: Use a credible counterfactual or state that attribution is not possible.</x:v>
      </x:c>
      <x:c r="C16" s="35" t="str">
        <x:v>Impact assessment</x:v>
      </x:c>
      <x:c r="D16" s="27" t="str">
        <x:v>Beneficiary exposure plus comparison/baseline-endline data</x:v>
      </x:c>
    </x:row>
    <x:row r="17">
      <x:c r="A17" s="26" t="n">
        <x:v>13</x:v>
      </x:c>
      <x:c r="B17" s="35" t="str">
        <x:v>Assess equity: Disaggregate reach and outcomes by priority groups and location.</x:v>
      </x:c>
      <x:c r="C17" s="35" t="str">
        <x:v>Equity assessment</x:v>
      </x:c>
      <x:c r="D17" s="27" t="str">
        <x:v>Sex, age, geography, vulnerability fields</x:v>
      </x:c>
    </x:row>
    <x:row r="18">
      <x:c r="A18" s="26" t="n">
        <x:v>14</x:v>
      </x:c>
      <x:c r="B18" s="35" t="str">
        <x:v>Assess efficiency/value for money: Calculate delivery costs and, if possible, cost per attributable result.</x:v>
      </x:c>
      <x:c r="C18" s="35" t="str">
        <x:v>Value-for-money assessment</x:v>
      </x:c>
      <x:c r="D18" s="27" t="str">
        <x:v>Audited expenditure and output data</x:v>
      </x:c>
    </x:row>
    <x:row r="19">
      <x:c r="A19" s="26" t="n">
        <x:v>15</x:v>
      </x:c>
      <x:c r="B19" s="35" t="str">
        <x:v>Document limitations: Record data and methodological constraints.</x:v>
      </x:c>
      <x:c r="C19" s="35" t="str">
        <x:v>Limitations statement</x:v>
      </x:c>
      <x:c r="D19" s="27" t="str">
        <x:v>Limitations log</x:v>
      </x:c>
    </x:row>
    <x:row r="20">
      <x:c r="A20" s="26" t="n">
        <x:v>16</x:v>
      </x:c>
      <x:c r="B20" s="35" t="str">
        <x:v>Produce intervention findings: Separate observed, reported, and attributable results.</x:v>
      </x:c>
      <x:c r="C20" s="35" t="str">
        <x:v>Findings note</x:v>
      </x:c>
      <x:c r="D20" s="27" t="str">
        <x:v>Reviewed evidence synthesis</x:v>
      </x:c>
    </x:row>
    <x:row r="21">
      <x:c r="A21" s="26" t="n">
        <x:v>17</x:v>
      </x:c>
      <x:c r="B21" s="35" t="str">
        <x:v>Add intervention to Tracker: Summarise ratings and evidence strength in Overview/master tracker.</x:v>
      </x:c>
      <x:c r="C21" s="35" t="str">
        <x:v>Tracker entry</x:v>
      </x:c>
      <x:c r="D21" s="27" t="str">
        <x:v>Approved findings</x:v>
      </x:c>
    </x:row>
    <x:row r="22">
      <x:c r="A22" s="28" t="n">
        <x:v>18</x:v>
      </x:c>
      <x:c r="B22" s="55" t="str">
        <x:v>Archive reusable methodology: Save sources, data dictionary, logs, methods, and reproducible outputs.</x:v>
      </x:c>
      <x:c r="C22" s="55" t="str">
        <x:v>Archived method</x:v>
      </x:c>
      <x:c r="D22" s="29" t="str">
        <x:v>Complete evidence package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5" hidden="0" customWidth="1"/>
    <x:col min="3" max="3" width="42" hidden="0" customWidth="1"/>
    <x:col min="4" max="4" width="24" hidden="0" customWidth="1"/>
    <x:col min="5" max="5" width="43" hidden="0" customWidth="1"/>
    <x:col min="6" max="6" width="24" hidden="0" customWidth="1"/>
  </x:cols>
  <x:sheetData>
    <x:row r="1">
      <x:c r="A1" s="2" t="str">
        <x:v>NAVCDP Programme Logic</x:v>
      </x:c>
    </x:row>
    <x:row r="2">
      <x:c r="A2" s="4" t="str">
        <x:v>Reconstructed from the official component structure and 2024 implementation report. This is an evidence-backed theory of change, not evidence that the final impacts occurred.</x:v>
      </x:c>
    </x:row>
    <x:row r="4">
      <x:c r="A4" s="72" t="str">
        <x:v>Logic level</x:v>
      </x:c>
      <x:c r="B4" s="72" t="str">
        <x:v>NAVCDP element</x:v>
      </x:c>
      <x:c r="C4" s="72" t="str">
        <x:v>Expected immediate result</x:v>
      </x:c>
      <x:c r="D4" s="72" t="str">
        <x:v>Potential impact dimensions</x:v>
      </x:c>
      <x:c r="E4" s="72" t="str">
        <x:v>Evidence needed to test</x:v>
      </x:c>
      <x:c r="F4" s="72" t="str">
        <x:v>Source</x:v>
      </x:c>
    </x:row>
    <x:row r="5">
      <x:c r="A5" s="24" t="str">
        <x:v>Inputs</x:v>
      </x:c>
      <x:c r="B5" s="54" t="str">
        <x:v>Financing, national/county coordination units, farmer registry, FPOs/SACCOs, extension, digital systems, irrigation and market investments</x:v>
      </x:c>
      <x:c r="C5" s="54" t="str">
        <x:v>Delivery capacity and targeting infrastructure</x:v>
      </x:c>
      <x:c r="D5" s="54" t="str">
        <x:v>All dimensions</x:v>
      </x:c>
      <x:c r="E5" s="54" t="str">
        <x:v>Budgets, contracts, staffing, delivery schedules, beneficiary register</x:v>
      </x:c>
      <x:c r="F5" s="25" t="str">
        <x:v>SRC-002 / SRC-003</x:v>
      </x:c>
    </x:row>
    <x:row r="6">
      <x:c r="A6" s="26" t="str">
        <x:v>Activities</x:v>
      </x:c>
      <x:c r="B6" s="35" t="str">
        <x:v>Producer capacity; climate-smart value-chain ecosystem investments; safer urban food-system pilots; coordination/management</x:v>
      </x:c>
      <x:c r="C6" s="35" t="str">
        <x:v>Training, planning, services, savings/credit linkages, irrigation, aggregation, markets, digital and AgriTech services</x:v>
      </x:c>
      <x:c r="D6" s="35" t="str">
        <x:v>Productivity, livelihoods, markets, resilience, sustainability</x:v>
      </x:c>
      <x:c r="E6" s="35" t="str">
        <x:v>Activity and service records with beneficiary, date, county, and value-chain fields</x:v>
      </x:c>
      <x:c r="F6" s="27" t="str">
        <x:v>SRC-002 / SRC-003</x:v>
      </x:c>
    </x:row>
    <x:row r="7">
      <x:c r="A7" s="26" t="str">
        <x:v>Outputs</x:v>
      </x:c>
      <x:c r="B7" s="35" t="str">
        <x:v>Farmers reached; FPOs/SACCOs/agripreneurs supported; market and irrigation assets; technologies disseminated</x:v>
      </x:c>
      <x:c r="C7" s="35" t="str">
        <x:v>Farmers and organisations receive services/assets</x:v>
      </x:c>
      <x:c r="D7" s="35" t="str">
        <x:v>Implementation, equity</x:v>
      </x:c>
      <x:c r="E7" s="35" t="str">
        <x:v>Unique beneficiary-level records; completed asset/infrastructure records</x:v>
      </x:c>
      <x:c r="F7" s="27" t="str">
        <x:v>SRC-002</x:v>
      </x:c>
    </x:row>
    <x:row r="8">
      <x:c r="A8" s="26" t="str">
        <x:v>Immediate outcomes</x:v>
      </x:c>
      <x:c r="B8" s="35" t="str">
        <x:v>Technology adoption, financial-service access, market-service access, savings/credit use, climate-resilient services</x:v>
      </x:c>
      <x:c r="C8" s="35" t="str">
        <x:v>Changed practices and market/financial participation</x:v>
      </x:c>
      <x:c r="D8" s="35" t="str">
        <x:v>Productivity, livelihoods, markets, resilience</x:v>
      </x:c>
      <x:c r="E8" s="35" t="str">
        <x:v>Baseline/endline or panel survey linked to exposure</x:v>
      </x:c>
      <x:c r="F8" s="27" t="str">
        <x:v>SRC-002</x:v>
      </x:c>
    </x:row>
    <x:row r="9">
      <x:c r="A9" s="26" t="str">
        <x:v>Intermediate outcomes</x:v>
      </x:c>
      <x:c r="B9" s="35" t="str">
        <x:v>More produce marketed; more value-added sales; higher FPO turnover; improved food/nutrition security</x:v>
      </x:c>
      <x:c r="C9" s="35" t="str">
        <x:v>Improved commercial and household outcomes</x:v>
      </x:c>
      <x:c r="D9" s="35" t="str">
        <x:v>Livelihoods, market outcomes, food security</x:v>
      </x:c>
      <x:c r="E9" s="35" t="str">
        <x:v>Outcome measures plus credible comparison group</x:v>
      </x:c>
      <x:c r="F9" s="27" t="str">
        <x:v>SRC-002 / SRC-003</x:v>
      </x:c>
    </x:row>
    <x:row r="10">
      <x:c r="A10" s="28" t="str">
        <x:v>Intended impacts</x:v>
      </x:c>
      <x:c r="B10" s="55" t="str">
        <x:v>Higher productivity, livelihoods, food security/resilience, and sustainable natural-resource management</x:v>
      </x:c>
      <x:c r="C10" s="55" t="str">
        <x:v>Sustained benefits for targeted farmers and communities</x:v>
      </x:c>
      <x:c r="D10" s="55" t="str">
        <x:v>All five dimensions</x:v>
      </x:c>
      <x:c r="E10" s="55" t="str">
        <x:v>Longitudinal outcomes, weather/context controls, and credible counterfactual</x:v>
      </x:c>
      <x:c r="F10" s="29" t="str">
        <x:v>Tracker assessment design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1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50" hidden="0" customWidth="1"/>
    <x:col min="9" max="9" width="22" hidden="0" customWidth="1"/>
  </x:cols>
  <x:sheetData>
    <x:row r="1">
      <x:c r="A1" s="2" t="str">
        <x:v>NAVCDP Official Results Framework</x:v>
      </x:c>
    </x:row>
    <x:row r="2">
      <x:c r="A2" s="4" t="str">
        <x:v>Values are official aggregate monitoring values reported in the 2024 ISR. They are retained for implementation tracking and must not be treated as causal impacts.</x:v>
      </x:c>
    </x:row>
    <x:row r="4">
      <x:c r="A4" s="81" t="str">
        <x:v>RF ID</x:v>
      </x:c>
      <x:c r="B4" s="81" t="str">
        <x:v>Result area</x:v>
      </x:c>
      <x:c r="C4" s="81" t="str">
        <x:v>Official indicator</x:v>
      </x:c>
      <x:c r="D4" s="81" t="str">
        <x:v>Baseline</x:v>
      </x:c>
      <x:c r="E4" s="81" t="str">
        <x:v>Reported actual</x:v>
      </x:c>
      <x:c r="F4" s="81" t="str">
        <x:v>Reporting date</x:v>
      </x:c>
      <x:c r="G4" s="81" t="str">
        <x:v>End target</x:v>
      </x:c>
      <x:c r="H4" s="81" t="str">
        <x:v>Interpretation limit</x:v>
      </x:c>
      <x:c r="I4" s="81" t="str">
        <x:v>Source</x:v>
      </x:c>
    </x:row>
    <x:row r="5">
      <x:c r="A5" s="24" t="str">
        <x:v>RF-01</x:v>
      </x:c>
      <x:c r="B5" s="54" t="str">
        <x:v>Market outcome (PDO)</x:v>
      </x:c>
      <x:c r="C5" s="54" t="str">
        <x:v>Increase in farmers selling &gt;50% of produce in market</x:v>
      </x:c>
      <x:c r="D5" s="82" t="n">
        <x:v>0</x:v>
      </x:c>
      <x:c r="E5" s="82" t="n">
        <x:v>43.23</x:v>
      </x:c>
      <x:c r="F5" s="82" t="str">
        <x:v>2025-11-25</x:v>
      </x:c>
      <x:c r="G5" s="82" t="n">
        <x:v>100</x:v>
      </x:c>
      <x:c r="H5" s="54" t="str">
        <x:v>Provisional baseline/MTR estimate; no counterfactual</x:v>
      </x:c>
      <x:c r="I5" s="25" t="str">
        <x:v>SRC-004</x:v>
      </x:c>
    </x:row>
    <x:row r="6">
      <x:c r="A6" s="26" t="str">
        <x:v>RF-02</x:v>
      </x:c>
      <x:c r="B6" s="35" t="str">
        <x:v>Market outcome (PDO)</x:v>
      </x:c>
      <x:c r="C6" s="35" t="str">
        <x:v>Increase in farmers selling in value-added form</x:v>
      </x:c>
      <x:c r="D6" s="83" t="n">
        <x:v>0</x:v>
      </x:c>
      <x:c r="E6" s="83" t="n">
        <x:v>23.8</x:v>
      </x:c>
      <x:c r="F6" s="83" t="str">
        <x:v>2025-11-25</x:v>
      </x:c>
      <x:c r="G6" s="83" t="n">
        <x:v>30</x:v>
      </x:c>
      <x:c r="H6" s="35" t="str">
        <x:v>Provisional baseline/MTR estimate; no counterfactual</x:v>
      </x:c>
      <x:c r="I6" s="27" t="str">
        <x:v>SRC-004</x:v>
      </x:c>
    </x:row>
    <x:row r="7">
      <x:c r="A7" s="26" t="str">
        <x:v>RF-03</x:v>
      </x:c>
      <x:c r="B7" s="35" t="str">
        <x:v>Reach (PDO)</x:v>
      </x:c>
      <x:c r="C7" s="35" t="str">
        <x:v>Farmers reached with agricultural assets or services</x:v>
      </x:c>
      <x:c r="D7" s="83" t="n">
        <x:v>0</x:v>
      </x:c>
      <x:c r="E7" s="83" t="n">
        <x:v>1329542</x:v>
      </x:c>
      <x:c r="F7" s="83" t="str">
        <x:v>2025-11-25</x:v>
      </x:c>
      <x:c r="G7" s="83" t="n">
        <x:v>500000</x:v>
      </x:c>
      <x:c r="H7" s="35" t="str">
        <x:v>Latest figure revised after validation/deduplication</x:v>
      </x:c>
      <x:c r="I7" s="27" t="str">
        <x:v>SRC-004</x:v>
      </x:c>
    </x:row>
    <x:row r="8">
      <x:c r="A8" s="26" t="str">
        <x:v>RF-04</x:v>
      </x:c>
      <x:c r="B8" s="35" t="str">
        <x:v>Equity / reach (PDO)</x:v>
      </x:c>
      <x:c r="C8" s="35" t="str">
        <x:v>Female farmers reached with agricultural assets or services</x:v>
      </x:c>
      <x:c r="D8" s="83" t="n">
        <x:v>0</x:v>
      </x:c>
      <x:c r="E8" s="83" t="n">
        <x:v>620530</x:v>
      </x:c>
      <x:c r="F8" s="83" t="str">
        <x:v>2025-11-25</x:v>
      </x:c>
      <x:c r="G8" s="83" t="n">
        <x:v>250000</x:v>
      </x:c>
      <x:c r="H8" s="35" t="str">
        <x:v>Aggregate sex disaggregation only</x:v>
      </x:c>
      <x:c r="I8" s="27" t="str">
        <x:v>SRC-004</x:v>
      </x:c>
    </x:row>
    <x:row r="9">
      <x:c r="A9" s="26" t="str">
        <x:v>RF-05</x:v>
      </x:c>
      <x:c r="B9" s="35" t="str">
        <x:v>Livelihoods</x:v>
      </x:c>
      <x:c r="C9" s="35" t="str">
        <x:v>Increase in average annual sales turnover of targeted FPOs</x:v>
      </x:c>
      <x:c r="D9" s="83" t="n">
        <x:v>0</x:v>
      </x:c>
      <x:c r="E9" s="83" t="n">
        <x:v>18</x:v>
      </x:c>
      <x:c r="F9" s="83" t="str">
        <x:v>2025-11-25</x:v>
      </x:c>
      <x:c r="G9" s="83" t="n">
        <x:v>30</x:v>
      </x:c>
      <x:c r="H9" s="35" t="str">
        <x:v>No FPO financial records or comparison group public</x:v>
      </x:c>
      <x:c r="I9" s="27" t="str">
        <x:v>SRC-004</x:v>
      </x:c>
    </x:row>
    <x:row r="10">
      <x:c r="A10" s="26" t="str">
        <x:v>RF-06</x:v>
      </x:c>
      <x:c r="B10" s="35" t="str">
        <x:v>Productivity</x:v>
      </x:c>
      <x:c r="C10" s="35" t="str">
        <x:v>Farmers adopting improved agricultural technology</x:v>
      </x:c>
      <x:c r="D10" s="83" t="n">
        <x:v>0</x:v>
      </x:c>
      <x:c r="E10" s="83" t="n">
        <x:v>535560</x:v>
      </x:c>
      <x:c r="F10" s="83" t="str">
        <x:v>2025-11-25</x:v>
      </x:c>
      <x:c r="G10" s="83" t="n">
        <x:v>350000</x:v>
      </x:c>
      <x:c r="H10" s="35" t="str">
        <x:v>Adoption is not yield or income impact</x:v>
      </x:c>
      <x:c r="I10" s="27" t="str">
        <x:v>SRC-004</x:v>
      </x:c>
    </x:row>
    <x:row r="11">
      <x:c r="A11" s="26" t="str">
        <x:v>RF-07</x:v>
      </x:c>
      <x:c r="B11" s="35" t="str">
        <x:v>Productivity / equity</x:v>
      </x:c>
      <x:c r="C11" s="35" t="str">
        <x:v>Female farmers adopting improved agricultural technology</x:v>
      </x:c>
      <x:c r="D11" s="83" t="n">
        <x:v>0</x:v>
      </x:c>
      <x:c r="E11" s="83" t="n">
        <x:v>259245</x:v>
      </x:c>
      <x:c r="F11" s="83" t="str">
        <x:v>2025-11-25</x:v>
      </x:c>
      <x:c r="G11" s="83" t="n">
        <x:v>175000</x:v>
      </x:c>
      <x:c r="H11" s="35" t="str">
        <x:v>Aggregate sex disaggregation only</x:v>
      </x:c>
      <x:c r="I11" s="27" t="str">
        <x:v>SRC-004</x:v>
      </x:c>
    </x:row>
    <x:row r="12">
      <x:c r="A12" s="26" t="str">
        <x:v>RF-08</x:v>
      </x:c>
      <x:c r="B12" s="35" t="str">
        <x:v>Financial inclusion</x:v>
      </x:c>
      <x:c r="C12" s="35" t="str">
        <x:v>Farmers accessing financial services</x:v>
      </x:c>
      <x:c r="D12" s="83" t="n">
        <x:v>0</x:v>
      </x:c>
      <x:c r="E12" s="83" t="n">
        <x:v>297000</x:v>
      </x:c>
      <x:c r="F12" s="83" t="str">
        <x:v>2025-11-25</x:v>
      </x:c>
      <x:c r="G12" s="83" t="n">
        <x:v>500000</x:v>
      </x:c>
      <x:c r="H12" s="35" t="str">
        <x:v>Defined as group savings initiation; not income</x:v>
      </x:c>
      <x:c r="I12" s="27" t="str">
        <x:v>SRC-004</x:v>
      </x:c>
    </x:row>
    <x:row r="13">
      <x:c r="A13" s="26" t="str">
        <x:v>RF-09</x:v>
      </x:c>
      <x:c r="B13" s="35" t="str">
        <x:v>Financial inclusion</x:v>
      </x:c>
      <x:c r="C13" s="35" t="str">
        <x:v>Farmers accessing credit</x:v>
      </x:c>
      <x:c r="D13" s="83" t="n">
        <x:v>0</x:v>
      </x:c>
      <x:c r="E13" s="83" t="n">
        <x:v>23682</x:v>
      </x:c>
      <x:c r="F13" s="83" t="str">
        <x:v>2025-11-25</x:v>
      </x:c>
      <x:c r="G13" s="83" t="n">
        <x:v>300000</x:v>
      </x:c>
      <x:c r="H13" s="35" t="str">
        <x:v>No transaction-level verification public</x:v>
      </x:c>
      <x:c r="I13" s="27" t="str">
        <x:v>SRC-004</x:v>
      </x:c>
    </x:row>
    <x:row r="14">
      <x:c r="A14" s="26" t="str">
        <x:v>RF-10</x:v>
      </x:c>
      <x:c r="B14" s="35" t="str">
        <x:v>Resilience</x:v>
      </x:c>
      <x:c r="C14" s="35" t="str">
        <x:v>Farmers with access to climate-resilient assets/services</x:v>
      </x:c>
      <x:c r="D14" s="83" t="n">
        <x:v>0</x:v>
      </x:c>
      <x:c r="E14" s="83" t="n">
        <x:v>354200</x:v>
      </x:c>
      <x:c r="F14" s="83" t="str">
        <x:v>2025-11-25</x:v>
      </x:c>
      <x:c r="G14" s="83" t="n">
        <x:v>300000</x:v>
      </x:c>
      <x:c r="H14" s="35" t="str">
        <x:v>Access is not a resilience outcome</x:v>
      </x:c>
      <x:c r="I14" s="27" t="str">
        <x:v>SRC-004</x:v>
      </x:c>
    </x:row>
    <x:row r="15">
      <x:c r="A15" s="26" t="str">
        <x:v>RF-11</x:v>
      </x:c>
      <x:c r="B15" s="35" t="str">
        <x:v>Sustainability</x:v>
      </x:c>
      <x:c r="C15" s="35" t="str">
        <x:v>Land under sustainable land management (ha)</x:v>
      </x:c>
      <x:c r="D15" s="83" t="n">
        <x:v>0</x:v>
      </x:c>
      <x:c r="E15" s="83" t="n">
        <x:v>3437</x:v>
      </x:c>
      <x:c r="F15" s="83" t="str">
        <x:v>2025-11-25</x:v>
      </x:c>
      <x:c r="G15" s="83" t="n">
        <x:v>40000</x:v>
      </x:c>
      <x:c r="H15" s="35" t="str">
        <x:v>No plot/geospatial quality or outcome evidence public</x:v>
      </x:c>
      <x:c r="I15" s="27" t="str">
        <x:v>SRC-004</x:v>
      </x:c>
    </x:row>
    <x:row r="16">
      <x:c r="A16" s="26" t="str">
        <x:v>RF-12</x:v>
      </x:c>
      <x:c r="B16" s="35" t="str">
        <x:v>Market / digital services</x:v>
      </x:c>
      <x:c r="C16" s="35" t="str">
        <x:v>Farmers accessing productivity, market, or credit services via AgriTech</x:v>
      </x:c>
      <x:c r="D16" s="83" t="n">
        <x:v>6000</x:v>
      </x:c>
      <x:c r="E16" s="83" t="n">
        <x:v>730426</x:v>
      </x:c>
      <x:c r="F16" s="83" t="str">
        <x:v>2025-11-25</x:v>
      </x:c>
      <x:c r="G16" s="83" t="n">
        <x:v>250000</x:v>
      </x:c>
      <x:c r="H16" s="35" t="str">
        <x:v>Service access is not an outcome or impact estimate</x:v>
      </x:c>
      <x:c r="I16" s="27" t="str">
        <x:v>SRC-004</x:v>
      </x:c>
    </x:row>
    <x:row r="17">
      <x:c r="A17" s="26" t="str">
        <x:v>RF-13</x:v>
      </x:c>
      <x:c r="B17" s="35" t="str">
        <x:v>Food security proxy</x:v>
      </x:c>
      <x:c r="C17" s="35" t="str">
        <x:v>Farmers adopting nutrition-sensitive technologies</x:v>
      </x:c>
      <x:c r="D17" s="83" t="n">
        <x:v>0</x:v>
      </x:c>
      <x:c r="E17" s="83" t="n">
        <x:v>294623</x:v>
      </x:c>
      <x:c r="F17" s="83" t="str">
        <x:v>2025-11-25</x:v>
      </x:c>
      <x:c r="G17" s="83" t="n">
        <x:v>150000</x:v>
      </x:c>
      <x:c r="H17" s="35" t="str">
        <x:v>Technology adoption is not measured food security</x:v>
      </x:c>
      <x:c r="I17" s="27" t="str">
        <x:v>SRC-004</x:v>
      </x:c>
    </x:row>
    <x:row r="18">
      <x:c r="A18" s="26" t="str">
        <x:v>RF-14</x:v>
      </x:c>
      <x:c r="B18" s="35" t="str">
        <x:v>Irrigation</x:v>
      </x:c>
      <x:c r="C18" s="35" t="str">
        <x:v>Farmers accessing irrigation</x:v>
      </x:c>
      <x:c r="D18" s="83" t="n">
        <x:v>0</x:v>
      </x:c>
      <x:c r="E18" s="83" t="n">
        <x:v>25229</x:v>
      </x:c>
      <x:c r="F18" s="83" t="str">
        <x:v>2025-11-25</x:v>
      </x:c>
      <x:c r="G18" s="83" t="n">
        <x:v>100000</x:v>
      </x:c>
      <x:c r="H18" s="35" t="str">
        <x:v>No production or income outcome attached</x:v>
      </x:c>
      <x:c r="I18" s="27" t="str">
        <x:v>SRC-004</x:v>
      </x:c>
    </x:row>
    <x:row r="19">
      <x:c r="A19" s="26" t="str">
        <x:v>RF-15</x:v>
      </x:c>
      <x:c r="B19" s="35" t="str">
        <x:v>Irrigation</x:v>
      </x:c>
      <x:c r="C19" s="35" t="str">
        <x:v>Area with new/improved irrigation or drainage (ha)</x:v>
      </x:c>
      <x:c r="D19" s="83" t="n">
        <x:v>0</x:v>
      </x:c>
      <x:c r="E19" s="83" t="n">
        <x:v>2749</x:v>
      </x:c>
      <x:c r="F19" s="83" t="str">
        <x:v>2025-11-25</x:v>
      </x:c>
      <x:c r="G19" s="83" t="n">
        <x:v>20000</x:v>
      </x:c>
      <x:c r="H19" s="35" t="str">
        <x:v>No productivity or water-use outcome public</x:v>
      </x:c>
      <x:c r="I19" s="27" t="str">
        <x:v>SRC-004</x:v>
      </x:c>
    </x:row>
    <x:row r="20">
      <x:c r="A20" s="26" t="str">
        <x:v>RF-16</x:v>
      </x:c>
      <x:c r="B20" s="35" t="str">
        <x:v>Equity</x:v>
      </x:c>
      <x:c r="C20" s="35" t="str">
        <x:v>VMGs supported through microprojects</x:v>
      </x:c>
      <x:c r="D20" s="83" t="n">
        <x:v>0</x:v>
      </x:c>
      <x:c r="E20" s="83" t="n">
        <x:v>0</x:v>
      </x:c>
      <x:c r="F20" s="83" t="str">
        <x:v>2025-11-25</x:v>
      </x:c>
      <x:c r="G20" s="83" t="n">
        <x:v>2000</x:v>
      </x:c>
      <x:c r="H20" s="35" t="str">
        <x:v>Aggregate measure; reasons for zero unknown</x:v>
      </x:c>
      <x:c r="I20" s="27" t="str">
        <x:v>SRC-004</x:v>
      </x:c>
    </x:row>
    <x:row r="21">
      <x:c r="A21" s="28" t="str">
        <x:v>RF-17</x:v>
      </x:c>
      <x:c r="B21" s="55" t="str">
        <x:v>Implementation quality</x:v>
      </x:c>
      <x:c r="C21" s="55" t="str">
        <x:v>Grievances related to benefits actually addressed</x:v>
      </x:c>
      <x:c r="D21" s="84" t="n">
        <x:v>0</x:v>
      </x:c>
      <x:c r="E21" s="84" t="n">
        <x:v>94</x:v>
      </x:c>
      <x:c r="F21" s="84" t="str">
        <x:v>2025-11-25</x:v>
      </x:c>
      <x:c r="G21" s="84" t="n">
        <x:v>100</x:v>
      </x:c>
      <x:c r="H21" s="55" t="str">
        <x:v>No grievance case-level data public</x:v>
      </x:c>
      <x:c r="I21" s="29" t="str">
        <x:v>SRC-004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4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5" hidden="0" customWidth="1"/>
    <x:col min="10" max="10" width="12" hidden="0" customWidth="1"/>
  </x:cols>
  <x:sheetData>
    <x:row r="1">
      <x:c r="A1" s="2" t="str">
        <x:v>Cleaned NAVCDP Monitoring Extract</x:v>
      </x:c>
    </x:row>
    <x:row r="2">
      <x:c r="A2" s="4" t="str">
        <x:v>Standardised public aggregate monitoring values from the 2025 ISR. Raw PDFs remain unchanged in data/int-02/raw_sources.</x:v>
      </x:c>
    </x:row>
    <x:row r="4">
      <x:c r="A4" s="81" t="str">
        <x:v>Record ID</x:v>
      </x:c>
      <x:c r="B4" s="81" t="str">
        <x:v>RF ID</x:v>
      </x:c>
      <x:c r="C4" s="81" t="str">
        <x:v>Dimension</x:v>
      </x:c>
      <x:c r="D4" s="81" t="str">
        <x:v>Indicator</x:v>
      </x:c>
      <x:c r="E4" s="81" t="str">
        <x:v>Baseline</x:v>
      </x:c>
      <x:c r="F4" s="81" t="str">
        <x:v>Reported actual</x:v>
      </x:c>
      <x:c r="G4" s="81" t="str">
        <x:v>Target</x:v>
      </x:c>
      <x:c r="H4" s="81" t="str">
        <x:v>As-of date</x:v>
      </x:c>
      <x:c r="I4" s="81" t="str">
        <x:v>Data status</x:v>
      </x:c>
      <x:c r="J4" s="81" t="str">
        <x:v>Source</x:v>
      </x:c>
    </x:row>
    <x:row r="5">
      <x:c r="A5" s="24" t="str">
        <x:v>MON-001</x:v>
      </x:c>
      <x:c r="B5" s="54" t="str">
        <x:v>RF-01</x:v>
      </x:c>
      <x:c r="C5" s="54" t="str">
        <x:v>Market outcome (PDO)</x:v>
      </x:c>
      <x:c r="D5" s="54" t="str">
        <x:v>Increase in farmers selling &gt;50% of produce in market</x:v>
      </x:c>
      <x:c r="E5" s="82" t="n">
        <x:v>0</x:v>
      </x:c>
      <x:c r="F5" s="82" t="n">
        <x:v>43.23</x:v>
      </x:c>
      <x:c r="G5" s="82" t="n">
        <x:v>100</x:v>
      </x:c>
      <x:c r="H5" s="54" t="str">
        <x:v>2025-11-25</x:v>
      </x:c>
      <x:c r="I5" s="54" t="str">
        <x:v>Public aggregate monitoring</x:v>
      </x:c>
      <x:c r="J5" s="25" t="str">
        <x:v>SRC-004</x:v>
      </x:c>
    </x:row>
    <x:row r="6">
      <x:c r="A6" s="26" t="str">
        <x:v>MON-002</x:v>
      </x:c>
      <x:c r="B6" s="35" t="str">
        <x:v>RF-02</x:v>
      </x:c>
      <x:c r="C6" s="35" t="str">
        <x:v>Market outcome (PDO)</x:v>
      </x:c>
      <x:c r="D6" s="35" t="str">
        <x:v>Increase in farmers selling in value-added form</x:v>
      </x:c>
      <x:c r="E6" s="83" t="n">
        <x:v>0</x:v>
      </x:c>
      <x:c r="F6" s="83" t="n">
        <x:v>23.8</x:v>
      </x:c>
      <x:c r="G6" s="83" t="n">
        <x:v>30</x:v>
      </x:c>
      <x:c r="H6" s="35" t="str">
        <x:v>2025-11-25</x:v>
      </x:c>
      <x:c r="I6" s="35" t="str">
        <x:v>Public aggregate monitoring</x:v>
      </x:c>
      <x:c r="J6" s="27" t="str">
        <x:v>SRC-004</x:v>
      </x:c>
    </x:row>
    <x:row r="7">
      <x:c r="A7" s="26" t="str">
        <x:v>MON-003</x:v>
      </x:c>
      <x:c r="B7" s="35" t="str">
        <x:v>RF-03</x:v>
      </x:c>
      <x:c r="C7" s="35" t="str">
        <x:v>Reach (PDO)</x:v>
      </x:c>
      <x:c r="D7" s="35" t="str">
        <x:v>Farmers reached with agricultural assets or services</x:v>
      </x:c>
      <x:c r="E7" s="83" t="n">
        <x:v>0</x:v>
      </x:c>
      <x:c r="F7" s="83" t="n">
        <x:v>1329542</x:v>
      </x:c>
      <x:c r="G7" s="83" t="n">
        <x:v>500000</x:v>
      </x:c>
      <x:c r="H7" s="35" t="str">
        <x:v>2025-11-25</x:v>
      </x:c>
      <x:c r="I7" s="35" t="str">
        <x:v>Public aggregate monitoring</x:v>
      </x:c>
      <x:c r="J7" s="27" t="str">
        <x:v>SRC-004</x:v>
      </x:c>
    </x:row>
    <x:row r="8">
      <x:c r="A8" s="26" t="str">
        <x:v>MON-004</x:v>
      </x:c>
      <x:c r="B8" s="35" t="str">
        <x:v>RF-04</x:v>
      </x:c>
      <x:c r="C8" s="35" t="str">
        <x:v>Equity / reach (PDO)</x:v>
      </x:c>
      <x:c r="D8" s="35" t="str">
        <x:v>Female farmers reached with agricultural assets or services</x:v>
      </x:c>
      <x:c r="E8" s="83" t="n">
        <x:v>0</x:v>
      </x:c>
      <x:c r="F8" s="83" t="n">
        <x:v>620530</x:v>
      </x:c>
      <x:c r="G8" s="83" t="n">
        <x:v>250000</x:v>
      </x:c>
      <x:c r="H8" s="35" t="str">
        <x:v>2025-11-25</x:v>
      </x:c>
      <x:c r="I8" s="35" t="str">
        <x:v>Public aggregate monitoring</x:v>
      </x:c>
      <x:c r="J8" s="27" t="str">
        <x:v>SRC-004</x:v>
      </x:c>
    </x:row>
    <x:row r="9">
      <x:c r="A9" s="26" t="str">
        <x:v>MON-005</x:v>
      </x:c>
      <x:c r="B9" s="35" t="str">
        <x:v>RF-05</x:v>
      </x:c>
      <x:c r="C9" s="35" t="str">
        <x:v>Livelihoods</x:v>
      </x:c>
      <x:c r="D9" s="35" t="str">
        <x:v>Increase in average annual sales turnover of targeted FPOs</x:v>
      </x:c>
      <x:c r="E9" s="83" t="n">
        <x:v>0</x:v>
      </x:c>
      <x:c r="F9" s="83" t="n">
        <x:v>18</x:v>
      </x:c>
      <x:c r="G9" s="83" t="n">
        <x:v>30</x:v>
      </x:c>
      <x:c r="H9" s="35" t="str">
        <x:v>2025-11-25</x:v>
      </x:c>
      <x:c r="I9" s="35" t="str">
        <x:v>Public aggregate monitoring</x:v>
      </x:c>
      <x:c r="J9" s="27" t="str">
        <x:v>SRC-004</x:v>
      </x:c>
    </x:row>
    <x:row r="10">
      <x:c r="A10" s="26" t="str">
        <x:v>MON-006</x:v>
      </x:c>
      <x:c r="B10" s="35" t="str">
        <x:v>RF-06</x:v>
      </x:c>
      <x:c r="C10" s="35" t="str">
        <x:v>Productivity</x:v>
      </x:c>
      <x:c r="D10" s="35" t="str">
        <x:v>Farmers adopting improved agricultural technology</x:v>
      </x:c>
      <x:c r="E10" s="83" t="n">
        <x:v>0</x:v>
      </x:c>
      <x:c r="F10" s="83" t="n">
        <x:v>535560</x:v>
      </x:c>
      <x:c r="G10" s="83" t="n">
        <x:v>350000</x:v>
      </x:c>
      <x:c r="H10" s="35" t="str">
        <x:v>2025-11-25</x:v>
      </x:c>
      <x:c r="I10" s="35" t="str">
        <x:v>Public aggregate monitoring</x:v>
      </x:c>
      <x:c r="J10" s="27" t="str">
        <x:v>SRC-004</x:v>
      </x:c>
    </x:row>
    <x:row r="11">
      <x:c r="A11" s="26" t="str">
        <x:v>MON-007</x:v>
      </x:c>
      <x:c r="B11" s="35" t="str">
        <x:v>RF-07</x:v>
      </x:c>
      <x:c r="C11" s="35" t="str">
        <x:v>Productivity / equity</x:v>
      </x:c>
      <x:c r="D11" s="35" t="str">
        <x:v>Female farmers adopting improved agricultural technology</x:v>
      </x:c>
      <x:c r="E11" s="83" t="n">
        <x:v>0</x:v>
      </x:c>
      <x:c r="F11" s="83" t="n">
        <x:v>259245</x:v>
      </x:c>
      <x:c r="G11" s="83" t="n">
        <x:v>175000</x:v>
      </x:c>
      <x:c r="H11" s="35" t="str">
        <x:v>2025-11-25</x:v>
      </x:c>
      <x:c r="I11" s="35" t="str">
        <x:v>Public aggregate monitoring</x:v>
      </x:c>
      <x:c r="J11" s="27" t="str">
        <x:v>SRC-004</x:v>
      </x:c>
    </x:row>
    <x:row r="12">
      <x:c r="A12" s="26" t="str">
        <x:v>MON-008</x:v>
      </x:c>
      <x:c r="B12" s="35" t="str">
        <x:v>RF-08</x:v>
      </x:c>
      <x:c r="C12" s="35" t="str">
        <x:v>Financial inclusion</x:v>
      </x:c>
      <x:c r="D12" s="35" t="str">
        <x:v>Farmers accessing financial services</x:v>
      </x:c>
      <x:c r="E12" s="83" t="n">
        <x:v>0</x:v>
      </x:c>
      <x:c r="F12" s="83" t="n">
        <x:v>297000</x:v>
      </x:c>
      <x:c r="G12" s="83" t="n">
        <x:v>500000</x:v>
      </x:c>
      <x:c r="H12" s="35" t="str">
        <x:v>2025-11-25</x:v>
      </x:c>
      <x:c r="I12" s="35" t="str">
        <x:v>Public aggregate monitoring</x:v>
      </x:c>
      <x:c r="J12" s="27" t="str">
        <x:v>SRC-004</x:v>
      </x:c>
    </x:row>
    <x:row r="13">
      <x:c r="A13" s="26" t="str">
        <x:v>MON-009</x:v>
      </x:c>
      <x:c r="B13" s="35" t="str">
        <x:v>RF-09</x:v>
      </x:c>
      <x:c r="C13" s="35" t="str">
        <x:v>Financial inclusion</x:v>
      </x:c>
      <x:c r="D13" s="35" t="str">
        <x:v>Farmers accessing credit</x:v>
      </x:c>
      <x:c r="E13" s="83" t="n">
        <x:v>0</x:v>
      </x:c>
      <x:c r="F13" s="83" t="n">
        <x:v>23682</x:v>
      </x:c>
      <x:c r="G13" s="83" t="n">
        <x:v>300000</x:v>
      </x:c>
      <x:c r="H13" s="35" t="str">
        <x:v>2025-11-25</x:v>
      </x:c>
      <x:c r="I13" s="35" t="str">
        <x:v>Public aggregate monitoring</x:v>
      </x:c>
      <x:c r="J13" s="27" t="str">
        <x:v>SRC-004</x:v>
      </x:c>
    </x:row>
    <x:row r="14">
      <x:c r="A14" s="26" t="str">
        <x:v>MON-010</x:v>
      </x:c>
      <x:c r="B14" s="35" t="str">
        <x:v>RF-10</x:v>
      </x:c>
      <x:c r="C14" s="35" t="str">
        <x:v>Resilience</x:v>
      </x:c>
      <x:c r="D14" s="35" t="str">
        <x:v>Farmers with access to climate-resilient assets/services</x:v>
      </x:c>
      <x:c r="E14" s="83" t="n">
        <x:v>0</x:v>
      </x:c>
      <x:c r="F14" s="83" t="n">
        <x:v>354200</x:v>
      </x:c>
      <x:c r="G14" s="83" t="n">
        <x:v>300000</x:v>
      </x:c>
      <x:c r="H14" s="35" t="str">
        <x:v>2025-11-25</x:v>
      </x:c>
      <x:c r="I14" s="35" t="str">
        <x:v>Public aggregate monitoring</x:v>
      </x:c>
      <x:c r="J14" s="27" t="str">
        <x:v>SRC-004</x:v>
      </x:c>
    </x:row>
    <x:row r="15">
      <x:c r="A15" s="26" t="str">
        <x:v>MON-011</x:v>
      </x:c>
      <x:c r="B15" s="35" t="str">
        <x:v>RF-11</x:v>
      </x:c>
      <x:c r="C15" s="35" t="str">
        <x:v>Sustainability</x:v>
      </x:c>
      <x:c r="D15" s="35" t="str">
        <x:v>Land under sustainable land management (ha)</x:v>
      </x:c>
      <x:c r="E15" s="83" t="n">
        <x:v>0</x:v>
      </x:c>
      <x:c r="F15" s="83" t="n">
        <x:v>3437</x:v>
      </x:c>
      <x:c r="G15" s="83" t="n">
        <x:v>40000</x:v>
      </x:c>
      <x:c r="H15" s="35" t="str">
        <x:v>2025-11-25</x:v>
      </x:c>
      <x:c r="I15" s="35" t="str">
        <x:v>Public aggregate monitoring</x:v>
      </x:c>
      <x:c r="J15" s="27" t="str">
        <x:v>SRC-004</x:v>
      </x:c>
    </x:row>
    <x:row r="16">
      <x:c r="A16" s="26" t="str">
        <x:v>MON-012</x:v>
      </x:c>
      <x:c r="B16" s="35" t="str">
        <x:v>RF-12</x:v>
      </x:c>
      <x:c r="C16" s="35" t="str">
        <x:v>Market / digital services</x:v>
      </x:c>
      <x:c r="D16" s="35" t="str">
        <x:v>Farmers accessing productivity, market, or credit services via AgriTech</x:v>
      </x:c>
      <x:c r="E16" s="83" t="n">
        <x:v>6000</x:v>
      </x:c>
      <x:c r="F16" s="83" t="n">
        <x:v>730426</x:v>
      </x:c>
      <x:c r="G16" s="83" t="n">
        <x:v>250000</x:v>
      </x:c>
      <x:c r="H16" s="35" t="str">
        <x:v>2025-11-25</x:v>
      </x:c>
      <x:c r="I16" s="35" t="str">
        <x:v>Public aggregate monitoring</x:v>
      </x:c>
      <x:c r="J16" s="27" t="str">
        <x:v>SRC-004</x:v>
      </x:c>
    </x:row>
    <x:row r="17">
      <x:c r="A17" s="26" t="str">
        <x:v>MON-013</x:v>
      </x:c>
      <x:c r="B17" s="35" t="str">
        <x:v>RF-13</x:v>
      </x:c>
      <x:c r="C17" s="35" t="str">
        <x:v>Food security proxy</x:v>
      </x:c>
      <x:c r="D17" s="35" t="str">
        <x:v>Farmers adopting nutrition-sensitive technologies</x:v>
      </x:c>
      <x:c r="E17" s="83" t="n">
        <x:v>0</x:v>
      </x:c>
      <x:c r="F17" s="83" t="n">
        <x:v>294623</x:v>
      </x:c>
      <x:c r="G17" s="83" t="n">
        <x:v>150000</x:v>
      </x:c>
      <x:c r="H17" s="35" t="str">
        <x:v>2025-11-25</x:v>
      </x:c>
      <x:c r="I17" s="35" t="str">
        <x:v>Public aggregate monitoring</x:v>
      </x:c>
      <x:c r="J17" s="27" t="str">
        <x:v>SRC-004</x:v>
      </x:c>
    </x:row>
    <x:row r="18">
      <x:c r="A18" s="26" t="str">
        <x:v>MON-014</x:v>
      </x:c>
      <x:c r="B18" s="35" t="str">
        <x:v>RF-14</x:v>
      </x:c>
      <x:c r="C18" s="35" t="str">
        <x:v>Irrigation</x:v>
      </x:c>
      <x:c r="D18" s="35" t="str">
        <x:v>Farmers accessing irrigation</x:v>
      </x:c>
      <x:c r="E18" s="83" t="n">
        <x:v>0</x:v>
      </x:c>
      <x:c r="F18" s="83" t="n">
        <x:v>25229</x:v>
      </x:c>
      <x:c r="G18" s="83" t="n">
        <x:v>100000</x:v>
      </x:c>
      <x:c r="H18" s="35" t="str">
        <x:v>2025-11-25</x:v>
      </x:c>
      <x:c r="I18" s="35" t="str">
        <x:v>Public aggregate monitoring</x:v>
      </x:c>
      <x:c r="J18" s="27" t="str">
        <x:v>SRC-004</x:v>
      </x:c>
    </x:row>
    <x:row r="19">
      <x:c r="A19" s="26" t="str">
        <x:v>MON-015</x:v>
      </x:c>
      <x:c r="B19" s="35" t="str">
        <x:v>RF-15</x:v>
      </x:c>
      <x:c r="C19" s="35" t="str">
        <x:v>Irrigation</x:v>
      </x:c>
      <x:c r="D19" s="35" t="str">
        <x:v>Area with new/improved irrigation or drainage (ha)</x:v>
      </x:c>
      <x:c r="E19" s="83" t="n">
        <x:v>0</x:v>
      </x:c>
      <x:c r="F19" s="83" t="n">
        <x:v>2749</x:v>
      </x:c>
      <x:c r="G19" s="83" t="n">
        <x:v>20000</x:v>
      </x:c>
      <x:c r="H19" s="35" t="str">
        <x:v>2025-11-25</x:v>
      </x:c>
      <x:c r="I19" s="35" t="str">
        <x:v>Public aggregate monitoring</x:v>
      </x:c>
      <x:c r="J19" s="27" t="str">
        <x:v>SRC-004</x:v>
      </x:c>
    </x:row>
    <x:row r="20">
      <x:c r="A20" s="26" t="str">
        <x:v>MON-016</x:v>
      </x:c>
      <x:c r="B20" s="35" t="str">
        <x:v>RF-16</x:v>
      </x:c>
      <x:c r="C20" s="35" t="str">
        <x:v>Equity</x:v>
      </x:c>
      <x:c r="D20" s="35" t="str">
        <x:v>VMGs supported through microprojects</x:v>
      </x:c>
      <x:c r="E20" s="83" t="n">
        <x:v>0</x:v>
      </x:c>
      <x:c r="F20" s="83" t="n">
        <x:v>0</x:v>
      </x:c>
      <x:c r="G20" s="83" t="n">
        <x:v>2000</x:v>
      </x:c>
      <x:c r="H20" s="35" t="str">
        <x:v>2025-11-25</x:v>
      </x:c>
      <x:c r="I20" s="35" t="str">
        <x:v>Public aggregate monitoring</x:v>
      </x:c>
      <x:c r="J20" s="27" t="str">
        <x:v>SRC-004</x:v>
      </x:c>
    </x:row>
    <x:row r="21">
      <x:c r="A21" s="28" t="str">
        <x:v>MON-017</x:v>
      </x:c>
      <x:c r="B21" s="55" t="str">
        <x:v>RF-17</x:v>
      </x:c>
      <x:c r="C21" s="55" t="str">
        <x:v>Implementation quality</x:v>
      </x:c>
      <x:c r="D21" s="55" t="str">
        <x:v>Grievances related to benefits actually addressed</x:v>
      </x:c>
      <x:c r="E21" s="84" t="n">
        <x:v>0</x:v>
      </x:c>
      <x:c r="F21" s="84" t="n">
        <x:v>94</x:v>
      </x:c>
      <x:c r="G21" s="84" t="n">
        <x:v>100</x:v>
      </x:c>
      <x:c r="H21" s="55" t="str">
        <x:v>2025-11-25</x:v>
      </x:c>
      <x:c r="I21" s="55" t="str">
        <x:v>Public aggregate monitoring</x:v>
      </x:c>
      <x:c r="J21" s="29" t="str">
        <x:v>SRC-004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32" hidden="0" customWidth="1"/>
    <x:col min="5" max="5" width="30" hidden="0" customWidth="1"/>
    <x:col min="6" max="6" width="16" hidden="0" customWidth="1"/>
    <x:col min="7" max="7" width="56" hidden="0" customWidth="1"/>
  </x:cols>
  <x:sheetData>
    <x:row r="1">
      <x:c r="A1" s="2" t="str">
        <x:v>INT-02 Analysis</x:v>
      </x:c>
    </x:row>
    <x:row r="2">
      <x:c r="A2" s="4" t="str">
        <x:v>Implementation, outcome, equity, attribution, and value-for-money assessment using the cleaned public monitoring extract. Conclusions are intentionally limited to the strength of the source data.</x:v>
      </x:c>
    </x:row>
    <x:row r="4">
      <x:c r="A4" s="81" t="str">
        <x:v>Assessment area</x:v>
      </x:c>
      <x:c r="B4" s="81" t="str">
        <x:v>Measure</x:v>
      </x:c>
      <x:c r="C4" s="81" t="str">
        <x:v>Reported value</x:v>
      </x:c>
      <x:c r="D4" s="81" t="str">
        <x:v>Reference / target</x:v>
      </x:c>
      <x:c r="E4" s="81" t="str">
        <x:v>Assessment</x:v>
      </x:c>
      <x:c r="F4" s="81" t="str">
        <x:v>Evidence strength</x:v>
      </x:c>
      <x:c r="G4" s="81" t="str">
        <x:v>Conclusion</x:v>
      </x:c>
    </x:row>
    <x:row r="5">
      <x:c r="A5" s="24" t="str">
        <x:v>Implementation</x:v>
      </x:c>
      <x:c r="B5" s="54" t="str">
        <x:v>Direct beneficiaries reached</x:v>
      </x:c>
      <x:c r="C5" s="54" t="n">
        <x:v>1329542</x:v>
      </x:c>
      <x:c r="D5" s="54" t="str">
        <x:v>500,000 target</x:v>
      </x:c>
      <x:c r="E5" s="54" t="str">
        <x:v>Reported reach exceeds target after validation/deduplication</x:v>
      </x:c>
      <x:c r="F5" s="54" t="str">
        <x:v>Medium</x:v>
      </x:c>
      <x:c r="G5" s="25" t="str">
        <x:v>Implementation reach appears substantial; verify against beneficiary-level register.</x:v>
      </x:c>
    </x:row>
    <x:row r="6">
      <x:c r="A6" s="26" t="str">
        <x:v>Implementation</x:v>
      </x:c>
      <x:c r="B6" s="35" t="str">
        <x:v>Project loan disbursement</x:v>
      </x:c>
      <x:c r="C6" s="35" t="str">
        <x:v>74.06%</x:v>
      </x:c>
      <x:c r="D6" s="35" t="str">
        <x:v>USD 184.37m disbursed of USD 258.73m revised</x:v>
      </x:c>
      <x:c r="E6" s="35" t="str">
        <x:v>Substantial disbursement reported</x:v>
      </x:c>
      <x:c r="F6" s="35" t="str">
        <x:v>Medium</x:v>
      </x:c>
      <x:c r="G6" s="27" t="str">
        <x:v>Financial implementation progressed, but disbursement is not audited expenditure or value for money.</x:v>
      </x:c>
    </x:row>
    <x:row r="7">
      <x:c r="A7" s="26" t="str">
        <x:v>Market outcomes</x:v>
      </x:c>
      <x:c r="B7" s="35" t="str">
        <x:v>Selling &gt;50% of produce in market</x:v>
      </x:c>
      <x:c r="C7" s="35" t="str">
        <x:v>43.23</x:v>
      </x:c>
      <x:c r="D7" s="35" t="str">
        <x:v>100 target</x:v>
      </x:c>
      <x:c r="E7" s="35" t="str">
        <x:v>Provisional MTR value below target</x:v>
      </x:c>
      <x:c r="F7" s="35" t="str">
        <x:v>Medium</x:v>
      </x:c>
      <x:c r="G7" s="27" t="str">
        <x:v>Reported market participation improved/was measured, but causal contribution cannot be identified.</x:v>
      </x:c>
    </x:row>
    <x:row r="8">
      <x:c r="A8" s="26" t="str">
        <x:v>Market outcomes</x:v>
      </x:c>
      <x:c r="B8" s="35" t="str">
        <x:v>Selling produce in value-added form</x:v>
      </x:c>
      <x:c r="C8" s="35" t="str">
        <x:v>23.80</x:v>
      </x:c>
      <x:c r="D8" s="35" t="str">
        <x:v>30 target</x:v>
      </x:c>
      <x:c r="E8" s="35" t="str">
        <x:v>Provisional MTR value below target</x:v>
      </x:c>
      <x:c r="F8" s="35" t="str">
        <x:v>Medium</x:v>
      </x:c>
      <x:c r="G8" s="27" t="str">
        <x:v>Reported progress exists; MTR methodology and comparison group are not public.</x:v>
      </x:c>
    </x:row>
    <x:row r="9">
      <x:c r="A9" s="26" t="str">
        <x:v>Livelihoods</x:v>
      </x:c>
      <x:c r="B9" s="35" t="str">
        <x:v>FPO annual sales turnover increase</x:v>
      </x:c>
      <x:c r="C9" s="35" t="str">
        <x:v>18</x:v>
      </x:c>
      <x:c r="D9" s="35" t="str">
        <x:v>30 target</x:v>
      </x:c>
      <x:c r="E9" s="35" t="str">
        <x:v>Below target</x:v>
      </x:c>
      <x:c r="F9" s="35" t="str">
        <x:v>Medium</x:v>
      </x:c>
      <x:c r="G9" s="27" t="str">
        <x:v>Reported FPO commercial outcome remains below target; no farm-income estimate is available.</x:v>
      </x:c>
    </x:row>
    <x:row r="10">
      <x:c r="A10" s="26" t="str">
        <x:v>Productivity</x:v>
      </x:c>
      <x:c r="B10" s="35" t="str">
        <x:v>Farmers adopting improved technology</x:v>
      </x:c>
      <x:c r="C10" s="35" t="n">
        <x:v>535560</x:v>
      </x:c>
      <x:c r="D10" s="35" t="str">
        <x:v>350,000 target</x:v>
      </x:c>
      <x:c r="E10" s="35" t="str">
        <x:v>Reported adoption exceeds target</x:v>
      </x:c>
      <x:c r="F10" s="35" t="str">
        <x:v>Medium</x:v>
      </x:c>
      <x:c r="G10" s="27" t="str">
        <x:v>Adoption appears substantial; yield and production impact are not measured.</x:v>
      </x:c>
    </x:row>
    <x:row r="11">
      <x:c r="A11" s="26" t="str">
        <x:v>Food security</x:v>
      </x:c>
      <x:c r="B11" s="35" t="str">
        <x:v>Nutrition-sensitive technology adoption</x:v>
      </x:c>
      <x:c r="C11" s="35" t="n">
        <x:v>294623</x:v>
      </x:c>
      <x:c r="D11" s="35" t="str">
        <x:v>150,000 target</x:v>
      </x:c>
      <x:c r="E11" s="35" t="str">
        <x:v>Reported adoption exceeds target</x:v>
      </x:c>
      <x:c r="F11" s="35" t="str">
        <x:v>Medium</x:v>
      </x:c>
      <x:c r="G11" s="27" t="str">
        <x:v>This is a food-security proxy, not a food-security outcome.</x:v>
      </x:c>
    </x:row>
    <x:row r="12">
      <x:c r="A12" s="26" t="str">
        <x:v>Resilience</x:v>
      </x:c>
      <x:c r="B12" s="35" t="str">
        <x:v>Access to climate-resilient assets/services</x:v>
      </x:c>
      <x:c r="C12" s="35" t="n">
        <x:v>354200</x:v>
      </x:c>
      <x:c r="D12" s="35" t="str">
        <x:v>300,000 target</x:v>
      </x:c>
      <x:c r="E12" s="35" t="str">
        <x:v>Reported access exceeds target</x:v>
      </x:c>
      <x:c r="F12" s="35" t="str">
        <x:v>Medium</x:v>
      </x:c>
      <x:c r="G12" s="27" t="str">
        <x:v>Access is reported; shock resilience has not been measured.</x:v>
      </x:c>
    </x:row>
    <x:row r="13">
      <x:c r="A13" s="26" t="str">
        <x:v>Sustainability</x:v>
      </x:c>
      <x:c r="B13" s="35" t="str">
        <x:v>Land under sustainable land management</x:v>
      </x:c>
      <x:c r="C13" s="35" t="n">
        <x:v>3437</x:v>
      </x:c>
      <x:c r="D13" s="35" t="str">
        <x:v>40,000 ha target</x:v>
      </x:c>
      <x:c r="E13" s="35" t="str">
        <x:v>Below target</x:v>
      </x:c>
      <x:c r="F13" s="35" t="str">
        <x:v>Medium</x:v>
      </x:c>
      <x:c r="G13" s="27" t="str">
        <x:v>Environmental practice area is reported; no soil, water, or emissions outcome is public.</x:v>
      </x:c>
    </x:row>
    <x:row r="14">
      <x:c r="A14" s="26" t="str">
        <x:v>Equity</x:v>
      </x:c>
      <x:c r="B14" s="35" t="str">
        <x:v>Female share of direct beneficiaries</x:v>
      </x:c>
      <x:c r="C14" s="35" t="str">
        <x:v>46.7%</x:v>
      </x:c>
      <x:c r="D14" s="35" t="str">
        <x:v>No stated share target in reviewed ISR</x:v>
      </x:c>
      <x:c r="E14" s="35" t="str">
        <x:v>620,530 of 1,329,542</x:v>
      </x:c>
      <x:c r="F14" s="35" t="str">
        <x:v>Medium</x:v>
      </x:c>
      <x:c r="G14" s="27" t="str">
        <x:v>Women are substantially represented in reported reach; coverage and benefit equity by county/value chain remain unknown.</x:v>
      </x:c>
    </x:row>
    <x:row r="15">
      <x:c r="A15" s="26" t="str">
        <x:v>Equity</x:v>
      </x:c>
      <x:c r="B15" s="35" t="str">
        <x:v>VMGs supported through microprojects</x:v>
      </x:c>
      <x:c r="C15" s="35" t="n">
        <x:v>0</x:v>
      </x:c>
      <x:c r="D15" s="35" t="str">
        <x:v>2,000 target</x:v>
      </x:c>
      <x:c r="E15" s="35" t="str">
        <x:v>No reported progress</x:v>
      </x:c>
      <x:c r="F15" s="35" t="str">
        <x:v>Medium</x:v>
      </x:c>
      <x:c r="G15" s="27" t="str">
        <x:v>This is a material equity implementation gap requiring follow-up.</x:v>
      </x:c>
    </x:row>
    <x:row r="16">
      <x:c r="A16" s="26" t="str">
        <x:v>Attribution</x:v>
      </x:c>
      <x:c r="B16" s="35" t="str">
        <x:v>Credible counterfactual</x:v>
      </x:c>
      <x:c r="C16" s="35" t="str">
        <x:v>Not available</x:v>
      </x:c>
      <x:c r="D16" s="35" t="str">
        <x:v>Beneficiary and comparison data needed</x:v>
      </x:c>
      <x:c r="E16" s="35" t="str">
        <x:v>Cannot estimate causal effect</x:v>
      </x:c>
      <x:c r="F16" s="35" t="str">
        <x:v>Low</x:v>
      </x:c>
      <x:c r="G16" s="27" t="str">
        <x:v>Causal impact is not assessable from public aggregate reports.</x:v>
      </x:c>
    </x:row>
    <x:row r="17">
      <x:c r="A17" s="28" t="str">
        <x:v>Value for money</x:v>
      </x:c>
      <x:c r="B17" s="55" t="str">
        <x:v>Cost per beneficiary / attributable result</x:v>
      </x:c>
      <x:c r="C17" s="55" t="str">
        <x:v>Not available</x:v>
      </x:c>
      <x:c r="D17" s="55" t="str">
        <x:v>Audited expenditure + validated outcome needed</x:v>
      </x:c>
      <x:c r="E17" s="55" t="str">
        <x:v>Cannot estimate efficiency</x:v>
      </x:c>
      <x:c r="F17" s="55" t="str">
        <x:v>Low</x:v>
      </x:c>
      <x:c r="G17" s="29" t="str">
        <x:v>Value for money is not assessable from disbursement data alone.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52" hidden="0" customWidth="1"/>
    <x:col min="5" max="5" width="52" hidden="0" customWidth="1"/>
  </x:cols>
  <x:sheetData>
    <x:row r="1">
      <x:c r="A1" s="2" t="str">
        <x:v>INT-02 Final Preliminary Assessment</x:v>
      </x:c>
    </x:row>
    <x:row r="2">
      <x:c r="A2" s="4" t="str">
        <x:v>A completed assessment based on publicly available evidence through 25 November 2025. ‘Not assessable’ means the required data/method are unavailable, not that the programme had no effect.</x:v>
      </x:c>
    </x:row>
    <x:row r="4">
      <x:c r="A4" s="81" t="str">
        <x:v>Assessment domain</x:v>
      </x:c>
      <x:c r="B4" s="81" t="str">
        <x:v>Conclusion</x:v>
      </x:c>
      <x:c r="C4" s="81" t="str">
        <x:v>Evidence strength</x:v>
      </x:c>
      <x:c r="D4" s="81" t="str">
        <x:v>Why this conclusion is limited</x:v>
      </x:c>
      <x:c r="E4" s="81" t="str">
        <x:v>Required next evidence</x:v>
      </x:c>
    </x:row>
    <x:row r="5">
      <x:c r="A5" s="24" t="str">
        <x:v>Implementation</x:v>
      </x:c>
      <x:c r="B5" s="54" t="str">
        <x:v>Partially positive: substantial reported reach, technology/service delivery, and 74.06% disbursement; infrastructure and some components remain behind target.</x:v>
      </x:c>
      <x:c r="C5" s="54" t="str">
        <x:v>Medium</x:v>
      </x:c>
      <x:c r="D5" s="54" t="str">
        <x:v>Aggregate reported indicators; no beneficiary-level delivery records or audit trail reviewed.</x:v>
      </x:c>
      <x:c r="E5" s="25" t="str">
        <x:v>Anonymised beneficiary, delivery, procurement, and expenditure data</x:v>
      </x:c>
    </x:row>
    <x:row r="6">
      <x:c r="A6" s="26" t="str">
        <x:v>Agricultural productivity</x:v>
      </x:c>
      <x:c r="B6" s="35" t="str">
        <x:v>Technology adoption is reported as substantial, but productivity impact is not assessable.</x:v>
      </x:c>
      <x:c r="C6" s="35" t="str">
        <x:v>Medium for adoption; Low for impact</x:v>
      </x:c>
      <x:c r="D6" s="35" t="str">
        <x:v>No yield, production, plot, or comparison-group analysis.</x:v>
      </x:c>
      <x:c r="E6" s="27" t="str">
        <x:v>Farm/plot production and area data, baseline/endline, comparison group</x:v>
      </x:c>
    </x:row>
    <x:row r="7">
      <x:c r="A7" s="26" t="str">
        <x:v>Farmers' livelihoods</x:v>
      </x:c>
      <x:c r="B7" s="35" t="str">
        <x:v>Reported FPO turnover growth is below target; farm-income impact is not assessable.</x:v>
      </x:c>
      <x:c r="C7" s="35" t="str">
        <x:v>Medium for turnover; Low for income impact</x:v>
      </x:c>
      <x:c r="D7" s="35" t="str">
        <x:v>No household income, cost, profit, or sales microdata.</x:v>
      </x:c>
      <x:c r="E7" s="27" t="str">
        <x:v>Household/FPO financial panel and comparison data</x:v>
      </x:c>
    </x:row>
    <x:row r="8">
      <x:c r="A8" s="26" t="str">
        <x:v>Market outcomes</x:v>
      </x:c>
      <x:c r="B8" s="35" t="str">
        <x:v>Provisional MTR figures show reported progress in marketed and value-added sales, both below target.</x:v>
      </x:c>
      <x:c r="C8" s="35" t="str">
        <x:v>Medium</x:v>
      </x:c>
      <x:c r="D8" s="35" t="str">
        <x:v>Survey method, sample, weighting, and counterfactual not public.</x:v>
      </x:c>
      <x:c r="E8" s="27" t="str">
        <x:v>MTR technical report, microdata, and comparison design</x:v>
      </x:c>
    </x:row>
    <x:row r="9">
      <x:c r="A9" s="26" t="str">
        <x:v>Food security and resilience</x:v>
      </x:c>
      <x:c r="B9" s="35" t="str">
        <x:v>Access/adoption proxies are reported, but food-security and shock-resilience impacts are not assessable.</x:v>
      </x:c>
      <x:c r="C9" s="35" t="str">
        <x:v>Low for impact</x:v>
      </x:c>
      <x:c r="D9" s="35" t="str">
        <x:v>No validated food-security outcome or resilience measurement in public evidence.</x:v>
      </x:c>
      <x:c r="E9" s="27" t="str">
        <x:v>Household food-security and shock-response data</x:v>
      </x:c>
    </x:row>
    <x:row r="10">
      <x:c r="A10" s="26" t="str">
        <x:v>Sustainability</x:v>
      </x:c>
      <x:c r="B10" s="35" t="str">
        <x:v>Sustainable land-management and irrigation delivery are reported, but environmental impact is not assessable.</x:v>
      </x:c>
      <x:c r="C10" s="35" t="str">
        <x:v>Medium for delivery; Low for impact</x:v>
      </x:c>
      <x:c r="D10" s="35" t="str">
        <x:v>No plot/geospatial verification, soil, water, or emissions outcome data.</x:v>
      </x:c>
      <x:c r="E10" s="27" t="str">
        <x:v>Geocoded intervention and environmental outcome data</x:v>
      </x:c>
    </x:row>
    <x:row r="11">
      <x:c r="A11" s="26" t="str">
        <x:v>Equity</x:v>
      </x:c>
      <x:c r="B11" s="35" t="str">
        <x:v>Female reach/adoption appears substantial; the zero reported VMG microproject value is a priority gap.</x:v>
      </x:c>
      <x:c r="C11" s="35" t="str">
        <x:v>Medium</x:v>
      </x:c>
      <x:c r="D11" s="35" t="str">
        <x:v>No subgroup outcomes, county distribution, disability, poverty, or exclusion data.</x:v>
      </x:c>
      <x:c r="E11" s="27" t="str">
        <x:v>Disaggregated beneficiary and outcome data</x:v>
      </x:c>
    </x:row>
    <x:row r="12">
      <x:c r="A12" s="26" t="str">
        <x:v>Efficiency / value for money</x:v>
      </x:c>
      <x:c r="B12" s="35" t="str">
        <x:v>Not assessable.</x:v>
      </x:c>
      <x:c r="C12" s="35" t="str">
        <x:v>Low</x:v>
      </x:c>
      <x:c r="D12" s="35" t="str">
        <x:v>Disbursement is not audited expenditure; no cost allocation or attributable impact estimate.</x:v>
      </x:c>
      <x:c r="E12" s="27" t="str">
        <x:v>Audited expenditure, unit costs, and validated results</x:v>
      </x:c>
    </x:row>
    <x:row r="13">
      <x:c r="A13" s="26" t="str">
        <x:v>Attribution / impact</x:v>
      </x:c>
      <x:c r="B13" s="35" t="str">
        <x:v>Not assessable causally.</x:v>
      </x:c>
      <x:c r="C13" s="35" t="str">
        <x:v>Low</x:v>
      </x:c>
      <x:c r="D13" s="35" t="str">
        <x:v>No exposure-linked microdata, valid comparison group, or published impact design.</x:v>
      </x:c>
      <x:c r="E13" s="27" t="str">
        <x:v>Baseline/endline/panel data and credible counterfactual</x:v>
      </x:c>
    </x:row>
    <x:row r="14">
      <x:c r="A14" s="28" t="str">
        <x:v>Overall conclusion</x:v>
      </x:c>
      <x:c r="B14" s="55" t="str">
        <x:v>NAVCDP shows meaningful reported implementation and intermediate-result progress, but available public evidence cannot establish causal impacts across the five Tracker dimensions.</x:v>
      </x:c>
      <x:c r="C14" s="55" t="str">
        <x:v>Medium for implementation; Low for causal impact</x:v>
      </x:c>
      <x:c r="D14" s="55" t="str">
        <x:v>Aggregate and partly provisional reporting; changing values after deduplication.</x:v>
      </x:c>
      <x:c r="E14" s="29" t="str">
        <x:v>Formal data request and follow-up impact evaluation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58" hidden="0" customWidth="1"/>
    <x:col min="4" max="4" width="18" hidden="0" customWidth="1"/>
    <x:col min="5" max="5" width="38" hidden="0" customWidth="1"/>
    <x:col min="6" max="6" width="32" hidden="0" customWidth="1"/>
    <x:col min="7" max="7" width="42" hidden="0" customWidth="1"/>
    <x:col min="8" max="8" width="14" hidden="0" customWidth="1"/>
  </x:cols>
  <x:sheetData>
    <x:row r="1">
      <x:c r="A1" s="2" t="str">
        <x:v>NAVCDP Data Request Specification</x:v>
      </x:c>
    </x:row>
    <x:row r="2">
      <x:c r="A2" s="4" t="str">
        <x:v>This is a reusable request list, not a claim that the data have been received. Request anonymised data only and retain data-protection controls.</x:v>
      </x:c>
    </x:row>
    <x:row r="4">
      <x:c r="A4" s="81" t="str">
        <x:v>Request ID</x:v>
      </x:c>
      <x:c r="B4" s="81" t="str">
        <x:v>Dataset</x:v>
      </x:c>
      <x:c r="C4" s="81" t="str">
        <x:v>Minimum fields</x:v>
      </x:c>
      <x:c r="D4" s="81" t="str">
        <x:v>Period</x:v>
      </x:c>
      <x:c r="E4" s="81" t="str">
        <x:v>Purpose</x:v>
      </x:c>
      <x:c r="F4" s="81" t="str">
        <x:v>Preferred unit / key</x:v>
      </x:c>
      <x:c r="G4" s="81" t="str">
        <x:v>Privacy condition</x:v>
      </x:c>
      <x:c r="H4" s="81" t="str">
        <x:v>Priority</x:v>
      </x:c>
    </x:row>
    <x:row r="5">
      <x:c r="A5" s="24" t="str">
        <x:v>REQ-01</x:v>
      </x:c>
      <x:c r="B5" s="54" t="str">
        <x:v>Beneficiary and service-delivery register</x:v>
      </x:c>
      <x:c r="C5" s="54" t="str">
        <x:v>Anonymous beneficiary ID, sex, age/youth, disability if collected, county/ward, value chain, service/asset, date, provider</x:v>
      </x:c>
      <x:c r="D5" s="54" t="str">
        <x:v>2022-present</x:v>
      </x:c>
      <x:c r="E5" s="54" t="str">
        <x:v>Verify unique reach, delivery, and equity</x:v>
      </x:c>
      <x:c r="F5" s="54" t="str">
        <x:v>Anonymous ID + date + county/ward</x:v>
      </x:c>
      <x:c r="G5" s="54" t="str">
        <x:v>Remove names, phones, national IDs, exact addresses</x:v>
      </x:c>
      <x:c r="H5" s="25" t="str">
        <x:v>Critical</x:v>
      </x:c>
    </x:row>
    <x:row r="6">
      <x:c r="A6" s="26" t="str">
        <x:v>REQ-02</x:v>
      </x:c>
      <x:c r="B6" s="35" t="str">
        <x:v>Farmer/FPO baseline, MTR, and endline surveys</x:v>
      </x:c>
      <x:c r="C6" s="35" t="str">
        <x:v>Anonymous ID, exposure, outcomes, sampling weight, questionnaire, fieldwork dates, strata</x:v>
      </x:c>
      <x:c r="D6" s="35" t="str">
        <x:v>Baseline/MTR/endline</x:v>
      </x:c>
      <x:c r="E6" s="35" t="str">
        <x:v>Estimate outcomes and assess attribution</x:v>
      </x:c>
      <x:c r="F6" s="35" t="str">
        <x:v>Anonymous household/FPO ID + round</x:v>
      </x:c>
      <x:c r="G6" s="35" t="str">
        <x:v>Remove direct identifiers; provide method report</x:v>
      </x:c>
      <x:c r="H6" s="27" t="str">
        <x:v>Critical</x:v>
      </x:c>
    </x:row>
    <x:row r="7">
      <x:c r="A7" s="26" t="str">
        <x:v>REQ-03</x:v>
      </x:c>
      <x:c r="B7" s="35" t="str">
        <x:v>Expenditure and procurement ledger</x:v>
      </x:c>
      <x:c r="C7" s="35" t="str">
        <x:v>Budget, commitment, invoice/payment, component, county, activity, date, vendor category</x:v>
      </x:c>
      <x:c r="D7" s="35" t="str">
        <x:v>Full project period</x:v>
      </x:c>
      <x:c r="E7" s="35" t="str">
        <x:v>Assess implementation cost and value for money</x:v>
      </x:c>
      <x:c r="F7" s="35" t="str">
        <x:v>Transaction ID + component + date</x:v>
      </x:c>
      <x:c r="G7" s="35" t="str">
        <x:v>Redact vendor personal/bank details if required</x:v>
      </x:c>
      <x:c r="H7" s="27" t="str">
        <x:v>Critical</x:v>
      </x:c>
    </x:row>
    <x:row r="8">
      <x:c r="A8" s="26" t="str">
        <x:v>REQ-04</x:v>
      </x:c>
      <x:c r="B8" s="35" t="str">
        <x:v>FPO/SACCO and market records</x:v>
      </x:c>
      <x:c r="C8" s="35" t="str">
        <x:v>Organisation ID, members, sales, buyers, loans/savings, services, date, county</x:v>
      </x:c>
      <x:c r="D8" s="35" t="str">
        <x:v>Baseline-present</x:v>
      </x:c>
      <x:c r="E8" s="35" t="str">
        <x:v>Assess commercial, market, and financial outcomes</x:v>
      </x:c>
      <x:c r="F8" s="35" t="str">
        <x:v>Organisation ID + period</x:v>
      </x:c>
      <x:c r="G8" s="35" t="str">
        <x:v>Remove personal identifiers</x:v>
      </x:c>
      <x:c r="H8" s="27" t="str">
        <x:v>High</x:v>
      </x:c>
    </x:row>
    <x:row r="9">
      <x:c r="A9" s="26" t="str">
        <x:v>REQ-05</x:v>
      </x:c>
      <x:c r="B9" s="35" t="str">
        <x:v>Plot/irrigation/SLM records</x:v>
      </x:c>
      <x:c r="C9" s="35" t="str">
        <x:v>Anonymous farmer/plot ID, location code, area, technology/practice, dates, output where available</x:v>
      </x:c>
      <x:c r="D9" s="35" t="str">
        <x:v>Baseline-present</x:v>
      </x:c>
      <x:c r="E9" s="35" t="str">
        <x:v>Assess productivity, irrigation, and sustainability</x:v>
      </x:c>
      <x:c r="F9" s="35" t="str">
        <x:v>Anonymous plot/farmer ID + season</x:v>
      </x:c>
      <x:c r="G9" s="35" t="str">
        <x:v>Use coarse geographic codes where needed</x:v>
      </x:c>
      <x:c r="H9" s="27" t="str">
        <x:v>High</x:v>
      </x:c>
    </x:row>
    <x:row r="10">
      <x:c r="A10" s="26" t="str">
        <x:v>REQ-06</x:v>
      </x:c>
      <x:c r="B10" s="35" t="str">
        <x:v>Grievance and safeguards records</x:v>
      </x:c>
      <x:c r="C10" s="35" t="str">
        <x:v>Case type, date, location level, resolution status/time, complainant group if collected</x:v>
      </x:c>
      <x:c r="D10" s="35" t="str">
        <x:v>Full project period</x:v>
      </x:c>
      <x:c r="E10" s="35" t="str">
        <x:v>Assess accountability and inclusion</x:v>
      </x:c>
      <x:c r="F10" s="35" t="str">
        <x:v>Case ID + month + county</x:v>
      </x:c>
      <x:c r="G10" s="35" t="str">
        <x:v>Remove narrative/free-text identifiers</x:v>
      </x:c>
      <x:c r="H10" s="27" t="str">
        <x:v>Medium</x:v>
      </x:c>
    </x:row>
    <x:row r="11">
      <x:c r="A11" s="26" t="str">
        <x:v>REQ-07</x:v>
      </x:c>
      <x:c r="B11" s="35" t="str">
        <x:v>MTR technical documentation</x:v>
      </x:c>
      <x:c r="C11" s="35" t="str">
        <x:v>Sampling frame, questionnaire, estimator, weighting, non-response, limitations</x:v>
      </x:c>
      <x:c r="D11" s="35" t="str">
        <x:v>2025 MTR</x:v>
      </x:c>
      <x:c r="E11" s="35" t="str">
        <x:v>Interpret provisional outcome measures</x:v>
      </x:c>
      <x:c r="F11" s="35" t="str">
        <x:v>Document-level</x:v>
      </x:c>
      <x:c r="G11" s="35" t="str">
        <x:v>No personal data needed</x:v>
      </x:c>
      <x:c r="H11" s="27" t="str">
        <x:v>Critical</x:v>
      </x:c>
    </x:row>
    <x:row r="12">
      <x:c r="A12" s="28" t="str">
        <x:v>REQ-08</x:v>
      </x:c>
      <x:c r="B12" s="55" t="str">
        <x:v>Comparison-area / non-beneficiary data</x:v>
      </x:c>
      <x:c r="C12" s="55" t="str">
        <x:v>Same outcome fields, eligibility/exposure, geography, dates</x:v>
      </x:c>
      <x:c r="D12" s="55" t="str">
        <x:v>Baseline-present</x:v>
      </x:c>
      <x:c r="E12" s="55" t="str">
        <x:v>Assess causal attribution</x:v>
      </x:c>
      <x:c r="F12" s="55" t="str">
        <x:v>Comparable unit ID + period</x:v>
      </x:c>
      <x:c r="G12" s="55" t="str">
        <x:v>Anonymised IDs only</x:v>
      </x:c>
      <x:c r="H12" s="29" t="str">
        <x:v>Critical</x:v>
      </x:c>
    </x:row>
  </x:sheetData>
  <x:mergeCells>
    <x:mergeCell ref="A1:H1"/>
    <x:mergeCell ref="A2:H2"/>
  </x:mergeCells>
  <x:pageMargins left="0.7" right="0.7" top="0.75" bottom="0.75" header="0.3" footer="0.3"/>
</x:worksheet>
</file>